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材共裁" sheetId="1" state="visible" r:id="rId1"/>
    <sheet name="Cutting 裁斷" sheetId="2" state="visible" r:id="rId2"/>
    <sheet name="ATOM 自動化" sheetId="3" state="visible" r:id="rId3"/>
    <sheet name="電腦針車 AC" sheetId="4" state="visible" r:id="rId4"/>
    <sheet name="Stitching 針車" sheetId="5" state="visible" r:id="rId5"/>
    <sheet name="Assembly.1 成型1" sheetId="6" state="visible" r:id="rId6"/>
    <sheet name="Assembly.2 成型2" sheetId="7" state="visible" r:id="rId7"/>
    <sheet name="SUM C2B" sheetId="8" state="visible" r:id="rId8"/>
    <sheet name="StockLót" sheetId="9" state="visible" r:id="rId9"/>
    <sheet name="打粗" sheetId="10" state="visible" r:id="rId10"/>
    <sheet name="水洗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color rgb="00721C24"/>
      <sz val="10"/>
    </font>
    <font>
      <b val="1"/>
      <color rgb="00155724"/>
      <sz val="10"/>
    </font>
    <font>
      <color rgb="00155724"/>
      <sz val="10"/>
    </font>
    <font>
      <color rgb="00C0392B"/>
      <sz val="10"/>
    </font>
    <font>
      <color rgb="00856404"/>
      <sz val="10"/>
    </font>
  </fonts>
  <fills count="10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E4057"/>
      </patternFill>
    </fill>
    <fill>
      <patternFill patternType="solid">
        <fgColor rgb="00F0F0F0"/>
      </patternFill>
    </fill>
    <fill>
      <patternFill patternType="solid">
        <fgColor rgb="00FFFDE7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FFF3CD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H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同材共裁  |  樣本: header_id=32 sheet="  同材共裁"  |  總檔數: 170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第2行</t>
        </is>
      </c>
      <c r="B3" s="4" t="inlineStr">
        <is>
          <t>BIỂU PHÂN TÍCH SẢN LƯỢNG TRUNG TÂM CHẶT 
  同材共裁IE产能分析表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第3行</t>
        </is>
      </c>
      <c r="B4" s="4" t="inlineStr">
        <is>
          <t>Mã số văn kiện : Document No. 文件編號: I/HYL /C-1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第4行</t>
        </is>
      </c>
      <c r="B5" s="4" t="inlineStr">
        <is>
          <t xml:space="preserve">Tên hình thể : LA TRAINER   Mục tiêu sản lượng : 960 đôi/8H 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第5行</t>
        </is>
      </c>
      <c r="B6" s="4" t="inlineStr">
        <is>
          <t xml:space="preserve">Model Name : LA TRAINER   Target Output : 960 Prs / 8H (120 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第6行</t>
        </is>
      </c>
      <c r="B7" s="4" t="inlineStr">
        <is>
          <t>鞋型名称: LA TRAINER   目標產能 : 960双/8H (120双/H)  .  TT：30.0秒/双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第7行</t>
        </is>
      </c>
      <c r="B8" s="4" t="inlineStr">
        <is>
          <t>Mã số: 01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7" t="inlineStr">
        <is>
          <t>B</t>
        </is>
      </c>
      <c r="B9" s="8" t="inlineStr">
        <is>
          <t>STT
序號</t>
        </is>
      </c>
      <c r="C9" s="7" t="inlineStr">
        <is>
          <t>1</t>
        </is>
      </c>
      <c r="D9" s="8">
        <f>#REF!</f>
        <v/>
      </c>
      <c r="E9" s="9" t="inlineStr">
        <is>
          <t>要</t>
        </is>
      </c>
      <c r="F9" s="7" t="inlineStr">
        <is>
          <t>公式(鎖定)</t>
        </is>
      </c>
      <c r="G9" s="10" t="inlineStr">
        <is>
          <t>100%</t>
        </is>
      </c>
      <c r="H9" s="6" t="inlineStr"/>
    </row>
    <row r="10" ht="15" customHeight="1">
      <c r="A10" s="11" t="inlineStr">
        <is>
          <t>C</t>
        </is>
      </c>
      <c r="B10" s="12" t="inlineStr">
        <is>
          <t>Tên phối kiện
部件名称</t>
        </is>
      </c>
      <c r="C10" s="11" t="inlineStr">
        <is>
          <t>3 dây TT</t>
        </is>
      </c>
      <c r="D10" s="12" t="inlineStr"/>
      <c r="E10" s="13" t="inlineStr">
        <is>
          <t>要</t>
        </is>
      </c>
      <c r="F10" s="11" t="inlineStr">
        <is>
          <t>人工輸入</t>
        </is>
      </c>
      <c r="G10" s="14" t="inlineStr">
        <is>
          <t>99%</t>
        </is>
      </c>
      <c r="H10" s="6" t="inlineStr"/>
    </row>
    <row r="11" ht="15" customHeight="1">
      <c r="A11" s="11" t="inlineStr">
        <is>
          <t>D</t>
        </is>
      </c>
      <c r="B11" s="12" t="inlineStr">
        <is>
          <t>Số lớp
层数</t>
        </is>
      </c>
      <c r="C11" s="11" t="inlineStr">
        <is>
          <t>2</t>
        </is>
      </c>
      <c r="D11" s="12" t="inlineStr"/>
      <c r="E11" s="13" t="inlineStr">
        <is>
          <t>要</t>
        </is>
      </c>
      <c r="F11" s="11" t="inlineStr">
        <is>
          <t>人工輸入</t>
        </is>
      </c>
      <c r="G11" s="15" t="inlineStr">
        <is>
          <t>43%</t>
        </is>
      </c>
      <c r="H11" s="6" t="inlineStr"/>
    </row>
    <row r="12" ht="15" customHeight="1">
      <c r="A12" s="11" t="inlineStr">
        <is>
          <t>E</t>
        </is>
      </c>
      <c r="B12" s="12" t="inlineStr">
        <is>
          <t>Số đôi / dao 
双数
/一刀</t>
        </is>
      </c>
      <c r="C12" s="11" t="inlineStr">
        <is>
          <t>0.5</t>
        </is>
      </c>
      <c r="D12" s="12" t="inlineStr"/>
      <c r="E12" s="13" t="inlineStr">
        <is>
          <t>要</t>
        </is>
      </c>
      <c r="F12" s="11" t="inlineStr">
        <is>
          <t>人工輸入</t>
        </is>
      </c>
      <c r="G12" s="15" t="inlineStr">
        <is>
          <t>43%</t>
        </is>
      </c>
      <c r="H12" s="6" t="inlineStr"/>
    </row>
    <row r="13" ht="15" customHeight="1">
      <c r="A13" s="16" t="inlineStr">
        <is>
          <t>F</t>
        </is>
      </c>
      <c r="B13" s="17" t="inlineStr">
        <is>
          <t>Thời gian thực tế /1 dao chặt
正常时间
/ 一刀</t>
        </is>
      </c>
      <c r="C13" s="16" t="inlineStr">
        <is>
          <t>14.54</t>
        </is>
      </c>
      <c r="D13" s="17" t="inlineStr">
        <is>
          <t xml:space="preserve"> ⚠ 10種變體</t>
        </is>
      </c>
      <c r="E13" s="18" t="inlineStr">
        <is>
          <t>要</t>
        </is>
      </c>
      <c r="F13" s="16" t="inlineStr">
        <is>
          <t>人工輸入</t>
        </is>
      </c>
      <c r="G13" s="19" t="inlineStr">
        <is>
          <t>90%</t>
        </is>
      </c>
      <c r="H13" s="6" t="inlineStr"/>
    </row>
    <row r="14" ht="15" customHeight="1">
      <c r="A14" s="16" t="inlineStr">
        <is>
          <t>G</t>
        </is>
      </c>
      <c r="B14" s="17" t="inlineStr">
        <is>
          <t>Trừ hao 
10%
寬放率
10%</t>
        </is>
      </c>
      <c r="C14" s="16" t="inlineStr">
        <is>
          <t>10</t>
        </is>
      </c>
      <c r="D14" s="17" t="inlineStr">
        <is>
          <t xml:space="preserve"> ⚠ 3種變體</t>
        </is>
      </c>
      <c r="E14" s="18" t="inlineStr">
        <is>
          <t>要</t>
        </is>
      </c>
      <c r="F14" s="16" t="inlineStr">
        <is>
          <t>人工輸入</t>
        </is>
      </c>
      <c r="G14" s="19" t="inlineStr">
        <is>
          <t>86%</t>
        </is>
      </c>
      <c r="H14" s="6" t="inlineStr"/>
    </row>
    <row r="15" ht="15" customHeight="1">
      <c r="A15" s="16" t="inlineStr">
        <is>
          <t>H</t>
        </is>
      </c>
      <c r="B15" s="17" t="inlineStr">
        <is>
          <t>Số phối kiện /đôi 
片数/双</t>
        </is>
      </c>
      <c r="C15" s="16" t="inlineStr">
        <is>
          <t>2</t>
        </is>
      </c>
      <c r="D15" s="17">
        <f>SUM(H9:H16) ⚠ 5種變體</f>
        <v/>
      </c>
      <c r="E15" s="18" t="inlineStr">
        <is>
          <t>要</t>
        </is>
      </c>
      <c r="F15" s="16" t="inlineStr">
        <is>
          <t>公式(鎖定)</t>
        </is>
      </c>
      <c r="G15" s="19" t="inlineStr">
        <is>
          <t>94%</t>
        </is>
      </c>
      <c r="H15" s="6" t="inlineStr"/>
    </row>
    <row r="16" ht="15" customHeight="1">
      <c r="A16" s="16" t="inlineStr">
        <is>
          <t>I</t>
        </is>
      </c>
      <c r="B16" s="17" t="inlineStr">
        <is>
          <t>Tiêu chuẩn thời gian
giây/đôi
標准時間 (秒/雙)</t>
        </is>
      </c>
      <c r="C16" s="16" t="inlineStr">
        <is>
          <t>2.24</t>
        </is>
      </c>
      <c r="D16" s="17">
        <f>F9*1.1 ⚠ 3種變體</f>
        <v/>
      </c>
      <c r="E16" s="18" t="inlineStr">
        <is>
          <t>要</t>
        </is>
      </c>
      <c r="F16" s="16" t="inlineStr">
        <is>
          <t>公式(鎖定)</t>
        </is>
      </c>
      <c r="G16" s="19" t="inlineStr">
        <is>
          <t>97%</t>
        </is>
      </c>
      <c r="H16" s="6" t="inlineStr"/>
    </row>
    <row r="17" ht="15" customHeight="1">
      <c r="A17" s="16" t="inlineStr">
        <is>
          <t>J</t>
        </is>
      </c>
      <c r="B17" s="17" t="inlineStr">
        <is>
          <t>Mục tiêu sản xuất (Đôi /H)
生产目标
(双/H)</t>
        </is>
      </c>
      <c r="C17" s="16">
        <f>3600/I9</f>
        <v/>
      </c>
      <c r="D17" s="17">
        <f>3600/I9 ⚠ 11種變體</f>
        <v/>
      </c>
      <c r="E17" s="18" t="inlineStr">
        <is>
          <t>要</t>
        </is>
      </c>
      <c r="F17" s="16" t="inlineStr">
        <is>
          <t>公式(鎖定)</t>
        </is>
      </c>
      <c r="G17" s="19" t="inlineStr">
        <is>
          <t>100%</t>
        </is>
      </c>
      <c r="H17" s="6" t="inlineStr"/>
    </row>
    <row r="18" ht="15" customHeight="1">
      <c r="A18" s="16" t="inlineStr">
        <is>
          <t>K</t>
        </is>
      </c>
      <c r="B18" s="17" t="inlineStr">
        <is>
          <t>Số người
lý luận
理论人数</t>
        </is>
      </c>
      <c r="C18" s="16">
        <f>I9/$Q$10</f>
        <v/>
      </c>
      <c r="D18" s="17">
        <f>I9/$Q$10 ⚠ 7種變體</f>
        <v/>
      </c>
      <c r="E18" s="18" t="inlineStr">
        <is>
          <t>要</t>
        </is>
      </c>
      <c r="F18" s="16" t="inlineStr">
        <is>
          <t>公式(鎖定)</t>
        </is>
      </c>
      <c r="G18" s="19" t="inlineStr">
        <is>
          <t>99%</t>
        </is>
      </c>
      <c r="H18" s="6" t="inlineStr"/>
    </row>
    <row r="19" ht="15" customHeight="1">
      <c r="A19" s="16" t="inlineStr">
        <is>
          <t>L</t>
        </is>
      </c>
      <c r="B19" s="17" t="inlineStr">
        <is>
          <t>Số người 
thực tế
IE sắp đặt
實際人數</t>
        </is>
      </c>
      <c r="C19" s="16" t="inlineStr">
        <is>
          <t>0.5</t>
        </is>
      </c>
      <c r="D19" s="17">
        <f>SUM(L9:L16) ⚠ 7種變體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98%</t>
        </is>
      </c>
      <c r="H19" s="6" t="inlineStr"/>
    </row>
    <row r="20" ht="15" customHeight="1">
      <c r="A20" s="16" t="inlineStr">
        <is>
          <t>M</t>
        </is>
      </c>
      <c r="B20" s="17" t="inlineStr">
        <is>
          <t>Tên máy
Name of machine 机器名稱</t>
        </is>
      </c>
      <c r="C20" s="16" t="inlineStr">
        <is>
          <t>Máy chặt
裁断机</t>
        </is>
      </c>
      <c r="D20" s="17" t="inlineStr">
        <is>
          <t xml:space="preserve"> ⚠ 3種變體</t>
        </is>
      </c>
      <c r="E20" s="18" t="inlineStr">
        <is>
          <t>要</t>
        </is>
      </c>
      <c r="F20" s="16" t="inlineStr">
        <is>
          <t>人工輸入</t>
        </is>
      </c>
      <c r="G20" s="20" t="inlineStr">
        <is>
          <t>61%</t>
        </is>
      </c>
      <c r="H20" s="6" t="inlineStr"/>
    </row>
    <row r="21" ht="15" customHeight="1">
      <c r="A21" s="7" t="inlineStr">
        <is>
          <t>N</t>
        </is>
      </c>
      <c r="B21" s="8" t="inlineStr">
        <is>
          <t>Số lượng máy
 Quantity of machine 
机器數量</t>
        </is>
      </c>
      <c r="C21" s="7" t="inlineStr">
        <is>
          <t>1</t>
        </is>
      </c>
      <c r="D21" s="8">
        <f>SUM(N9:N16)</f>
        <v/>
      </c>
      <c r="E21" s="9" t="inlineStr">
        <is>
          <t>要</t>
        </is>
      </c>
      <c r="F21" s="7" t="inlineStr">
        <is>
          <t>公式(鎖定)</t>
        </is>
      </c>
      <c r="G21" s="21" t="inlineStr">
        <is>
          <t>28%</t>
        </is>
      </c>
      <c r="H21" s="6" t="inlineStr"/>
    </row>
    <row r="22" ht="15" customHeight="1">
      <c r="A22" s="16" t="inlineStr">
        <is>
          <t>O</t>
        </is>
      </c>
      <c r="B22" s="17" t="inlineStr">
        <is>
          <t>Tên nguyên 
liệu 
材料类</t>
        </is>
      </c>
      <c r="C22" s="16" t="inlineStr">
        <is>
          <t xml:space="preserve">Da giả
人造皮 </t>
        </is>
      </c>
      <c r="D22" s="17" t="inlineStr">
        <is>
          <t xml:space="preserve"> ⚠ 3種變體</t>
        </is>
      </c>
      <c r="E22" s="18" t="inlineStr">
        <is>
          <t>要</t>
        </is>
      </c>
      <c r="F22" s="16" t="inlineStr">
        <is>
          <t>人工輸入</t>
        </is>
      </c>
      <c r="G22" s="22" t="inlineStr">
        <is>
          <t>29%</t>
        </is>
      </c>
      <c r="H22" s="6" t="inlineStr"/>
    </row>
    <row r="23" ht="15" customHeight="1">
      <c r="A23" s="7" t="inlineStr">
        <is>
          <t>Q</t>
        </is>
      </c>
      <c r="B23" s="8" t="inlineStr">
        <is>
          <t>480</t>
        </is>
      </c>
      <c r="C23" s="7">
        <f>Q8/8</f>
        <v/>
      </c>
      <c r="D23" s="8">
        <f>Q8/8</f>
        <v/>
      </c>
      <c r="E23" s="9" t="inlineStr">
        <is>
          <t>要</t>
        </is>
      </c>
      <c r="F23" s="7" t="inlineStr">
        <is>
          <t>公式(鎖定)</t>
        </is>
      </c>
      <c r="G23" s="21" t="inlineStr">
        <is>
          <t>6%</t>
        </is>
      </c>
      <c r="H23" s="6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Cutting 裁斷  |  樣本: header_id=32 sheet="Cutting (da thật)"  |  總檔數: 195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PHA CẮT    裁斷流程分析表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Cutting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văn kiện : Document No. 文件編號: I/HYL /C-1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 xml:space="preserve">Tên hình thể : LA TRAINER   Mục tiêu sản lượng : 480 đôi/8H 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Model Name : LA TRAINER   Target Output : 480 Prs / 8H (60 P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鞋型名称: LA TRAINER   目標產能 : 480双/8H (60双/H)  .  TT：60.0秒/双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3" t="inlineStr">
        <is>
          <t>第7行</t>
        </is>
      </c>
      <c r="B9" s="4" t="inlineStr">
        <is>
          <t xml:space="preserve">Phân loại nguyên liệu
材料类别 Classification Material | Pha cắt | In nước/vẽ chì | </t>
        </is>
      </c>
      <c r="C9" s="3" t="inlineStr"/>
      <c r="D9" s="4" t="inlineStr"/>
      <c r="E9" s="5" t="inlineStr">
        <is>
          <t>不要</t>
        </is>
      </c>
      <c r="F9" s="3" t="inlineStr">
        <is>
          <t>—</t>
        </is>
      </c>
      <c r="G9" s="3" t="inlineStr"/>
      <c r="H9" s="6" t="inlineStr"/>
    </row>
    <row r="10" ht="15" customHeight="1">
      <c r="A10" s="3" t="inlineStr">
        <is>
          <t>第8行</t>
        </is>
      </c>
      <c r="B10" s="4" t="inlineStr">
        <is>
          <t>Cutting | Marking | Buffing | Skiving</t>
        </is>
      </c>
      <c r="C10" s="3" t="inlineStr"/>
      <c r="D10" s="4" t="inlineStr"/>
      <c r="E10" s="5" t="inlineStr">
        <is>
          <t>不要</t>
        </is>
      </c>
      <c r="F10" s="3" t="inlineStr">
        <is>
          <t>—</t>
        </is>
      </c>
      <c r="G10" s="3" t="inlineStr"/>
      <c r="H10" s="6" t="inlineStr"/>
    </row>
    <row r="11" ht="15" customHeight="1">
      <c r="A11" s="3" t="inlineStr">
        <is>
          <t>第9行</t>
        </is>
      </c>
      <c r="B11" s="4" t="inlineStr">
        <is>
          <t>裁断 | 印线/画线 | 磨皮 | 削皮</t>
        </is>
      </c>
      <c r="C11" s="3" t="inlineStr"/>
      <c r="D11" s="4" t="inlineStr"/>
      <c r="E11" s="5" t="inlineStr">
        <is>
          <t>不要</t>
        </is>
      </c>
      <c r="F11" s="3" t="inlineStr">
        <is>
          <t>—</t>
        </is>
      </c>
      <c r="G11" s="3" t="inlineStr"/>
      <c r="H11" s="6" t="inlineStr"/>
    </row>
    <row r="12" ht="15" customHeight="1">
      <c r="A12" s="7" t="inlineStr">
        <is>
          <t>B</t>
        </is>
      </c>
      <c r="B12" s="8" t="inlineStr">
        <is>
          <t>Phân loại
 nguyên liệu / Classification Material / 材料类别</t>
        </is>
      </c>
      <c r="C12" s="7" t="inlineStr">
        <is>
          <t>真皮</t>
        </is>
      </c>
      <c r="D12" s="8">
        <f>#REF!</f>
        <v/>
      </c>
      <c r="E12" s="9" t="inlineStr">
        <is>
          <t>要</t>
        </is>
      </c>
      <c r="F12" s="7" t="inlineStr">
        <is>
          <t>公式(鎖定)</t>
        </is>
      </c>
      <c r="G12" s="10" t="inlineStr">
        <is>
          <t>100%</t>
        </is>
      </c>
      <c r="H12" s="6" t="inlineStr"/>
    </row>
    <row r="13" ht="15" customHeight="1">
      <c r="A13" s="23" t="inlineStr">
        <is>
          <t>C</t>
        </is>
      </c>
      <c r="B13" s="24" t="inlineStr">
        <is>
          <t>STT / Seq.No / 序号</t>
        </is>
      </c>
      <c r="C13" s="23" t="inlineStr">
        <is>
          <t>2</t>
        </is>
      </c>
      <c r="D13" s="24" t="inlineStr"/>
      <c r="E13" s="25" t="inlineStr">
        <is>
          <t>要</t>
        </is>
      </c>
      <c r="F13" s="23" t="inlineStr">
        <is>
          <t>自動帶入</t>
        </is>
      </c>
      <c r="G13" s="26" t="inlineStr">
        <is>
          <t>100%</t>
        </is>
      </c>
      <c r="H13" s="6" t="inlineStr"/>
    </row>
    <row r="14" ht="15" customHeight="1">
      <c r="A14" s="11" t="inlineStr">
        <is>
          <t>D</t>
        </is>
      </c>
      <c r="B14" s="12" t="inlineStr">
        <is>
          <t>Tên phối kiện / Name of Parts / 部件名称</t>
        </is>
      </c>
      <c r="C14" s="11" t="inlineStr">
        <is>
          <t>Lỗ dây 鞋眼片</t>
        </is>
      </c>
      <c r="D14" s="12" t="inlineStr"/>
      <c r="E14" s="13" t="inlineStr">
        <is>
          <t>要</t>
        </is>
      </c>
      <c r="F14" s="11" t="inlineStr">
        <is>
          <t>人工輸入</t>
        </is>
      </c>
      <c r="G14" s="14" t="inlineStr">
        <is>
          <t>100%</t>
        </is>
      </c>
      <c r="H14" s="6" t="inlineStr"/>
    </row>
    <row r="15" ht="15" customHeight="1">
      <c r="A15" s="11" t="inlineStr">
        <is>
          <t>E</t>
        </is>
      </c>
      <c r="B15" s="12" t="inlineStr">
        <is>
          <t>Số
lớp / No.of Layer / 层数</t>
        </is>
      </c>
      <c r="C15" s="11" t="inlineStr">
        <is>
          <t>1</t>
        </is>
      </c>
      <c r="D15" s="12" t="inlineStr"/>
      <c r="E15" s="13" t="inlineStr">
        <is>
          <t>要</t>
        </is>
      </c>
      <c r="F15" s="11" t="inlineStr">
        <is>
          <t>人工輸入</t>
        </is>
      </c>
      <c r="G15" s="14" t="inlineStr">
        <is>
          <t>100%</t>
        </is>
      </c>
      <c r="H15" s="6" t="inlineStr"/>
    </row>
    <row r="16" ht="15" customHeight="1">
      <c r="A16" s="16" t="inlineStr">
        <is>
          <t>F</t>
        </is>
      </c>
      <c r="B16" s="17" t="inlineStr">
        <is>
          <t>Số 
phối kiện/ chiếc / Quantity of Parts
 (1 Pie / 片数</t>
        </is>
      </c>
      <c r="C16" s="16" t="inlineStr">
        <is>
          <t>1</t>
        </is>
      </c>
      <c r="D16" s="17">
        <f>SUM(F13:F27) ⚠ 5種變體</f>
        <v/>
      </c>
      <c r="E16" s="18" t="inlineStr">
        <is>
          <t>要</t>
        </is>
      </c>
      <c r="F16" s="16" t="inlineStr">
        <is>
          <t>公式(鎖定)</t>
        </is>
      </c>
      <c r="G16" s="19" t="inlineStr">
        <is>
          <t>100%</t>
        </is>
      </c>
      <c r="H16" s="6" t="inlineStr"/>
    </row>
    <row r="17" ht="15" customHeight="1">
      <c r="A17" s="11" t="inlineStr">
        <is>
          <t>G</t>
        </is>
      </c>
      <c r="B17" s="12" t="inlineStr">
        <is>
          <t>Số 
phối kiện / Quantity of Parts
 (1 Prs / 件数</t>
        </is>
      </c>
      <c r="C17" s="11" t="inlineStr">
        <is>
          <t>2</t>
        </is>
      </c>
      <c r="D17" s="12" t="inlineStr"/>
      <c r="E17" s="13" t="inlineStr">
        <is>
          <t>要</t>
        </is>
      </c>
      <c r="F17" s="11" t="inlineStr">
        <is>
          <t>人工輸入</t>
        </is>
      </c>
      <c r="G17" s="14" t="inlineStr">
        <is>
          <t>100%</t>
        </is>
      </c>
      <c r="H17" s="6" t="inlineStr"/>
    </row>
    <row r="18" ht="15" customHeight="1">
      <c r="A18" s="16" t="inlineStr">
        <is>
          <t>H</t>
        </is>
      </c>
      <c r="B18" s="17" t="inlineStr">
        <is>
          <t>Số dao /H / Cut
(Pair/ Hour) / 刀数/ H</t>
        </is>
      </c>
      <c r="C18" s="16" t="inlineStr">
        <is>
          <t>450</t>
        </is>
      </c>
      <c r="D18" s="17" t="inlineStr">
        <is>
          <t xml:space="preserve"> ⚠ 8種變體</t>
        </is>
      </c>
      <c r="E18" s="18" t="inlineStr">
        <is>
          <t>要</t>
        </is>
      </c>
      <c r="F18" s="16" t="inlineStr">
        <is>
          <t>人工輸入</t>
        </is>
      </c>
      <c r="G18" s="19" t="inlineStr">
        <is>
          <t>100%</t>
        </is>
      </c>
      <c r="H18" s="6" t="inlineStr"/>
    </row>
    <row r="19" ht="15" customHeight="1">
      <c r="A19" s="16" t="inlineStr">
        <is>
          <t>I</t>
        </is>
      </c>
      <c r="B19" s="17" t="inlineStr">
        <is>
          <t>Tiêu chuẩn
thời gian / Standard time
(Secs/
Prs) / 標准時間
(秒/雙</t>
        </is>
      </c>
      <c r="C19" s="16">
        <f>3600/H14/E14*G14</f>
        <v/>
      </c>
      <c r="D19" s="17">
        <f>3600/H14/E14*G14 ⚠ 5種變體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  <row r="20" ht="15" customHeight="1">
      <c r="A20" s="16" t="inlineStr">
        <is>
          <t>J</t>
        </is>
      </c>
      <c r="B20" s="17" t="inlineStr">
        <is>
          <t>Số người
lý luận / Operators in theory / 理论人数</t>
        </is>
      </c>
      <c r="C20" s="16">
        <f>I14/$X$11</f>
        <v/>
      </c>
      <c r="D20" s="17">
        <f>I14/$X$11 ⚠ 6種變體</f>
        <v/>
      </c>
      <c r="E20" s="18" t="inlineStr">
        <is>
          <t>要</t>
        </is>
      </c>
      <c r="F20" s="16" t="inlineStr">
        <is>
          <t>公式(鎖定)</t>
        </is>
      </c>
      <c r="G20" s="19" t="inlineStr">
        <is>
          <t>100%</t>
        </is>
      </c>
      <c r="H20" s="6" t="inlineStr"/>
    </row>
    <row r="21" ht="15" customHeight="1">
      <c r="A21" s="16" t="inlineStr">
        <is>
          <t>K</t>
        </is>
      </c>
      <c r="B21" s="17" t="inlineStr">
        <is>
          <t>Số người cần của máy cắt / No.of Operators / 裁机要求人数</t>
        </is>
      </c>
      <c r="C21" s="16" t="inlineStr">
        <is>
          <t>1</t>
        </is>
      </c>
      <c r="D21" s="17">
        <f>SUM(K13:K27) ⚠ 8種變體</f>
        <v/>
      </c>
      <c r="E21" s="18" t="inlineStr">
        <is>
          <t>要</t>
        </is>
      </c>
      <c r="F21" s="16" t="inlineStr">
        <is>
          <t>公式(鎖定)</t>
        </is>
      </c>
      <c r="G21" s="19" t="inlineStr">
        <is>
          <t>100%</t>
        </is>
      </c>
      <c r="H21" s="6" t="inlineStr"/>
    </row>
    <row r="22" ht="15" customHeight="1">
      <c r="A22" s="7" t="inlineStr">
        <is>
          <t>L</t>
        </is>
      </c>
      <c r="B22" s="8" t="inlineStr">
        <is>
          <t>Tiêu chuẩn
thời gian / Standard time
(Secs/
Prs) / 標准時間
(秒/雙</t>
        </is>
      </c>
      <c r="C22" s="7" t="inlineStr">
        <is>
          <t>4.8</t>
        </is>
      </c>
      <c r="D22" s="8">
        <f>SUM(L13:L30)</f>
        <v/>
      </c>
      <c r="E22" s="9" t="inlineStr">
        <is>
          <t>要</t>
        </is>
      </c>
      <c r="F22" s="7" t="inlineStr">
        <is>
          <t>公式(鎖定)</t>
        </is>
      </c>
      <c r="G22" s="10" t="inlineStr">
        <is>
          <t>100%</t>
        </is>
      </c>
      <c r="H22" s="6" t="inlineStr"/>
    </row>
    <row r="23" ht="15" customHeight="1">
      <c r="A23" s="16" t="inlineStr">
        <is>
          <t>M</t>
        </is>
      </c>
      <c r="B23" s="17" t="inlineStr">
        <is>
          <t>Số người
lý luận / Operators in theory / 理论人数</t>
        </is>
      </c>
      <c r="C23" s="16">
        <f>L16/$X$11</f>
        <v/>
      </c>
      <c r="D23" s="17">
        <f>L16/$X$11 ⚠ 4種變體</f>
        <v/>
      </c>
      <c r="E23" s="18" t="inlineStr">
        <is>
          <t>要</t>
        </is>
      </c>
      <c r="F23" s="16" t="inlineStr">
        <is>
          <t>公式(鎖定)</t>
        </is>
      </c>
      <c r="G23" s="19" t="inlineStr">
        <is>
          <t>100%</t>
        </is>
      </c>
      <c r="H23" s="6" t="inlineStr"/>
    </row>
    <row r="24" ht="15" customHeight="1">
      <c r="A24" s="16" t="inlineStr">
        <is>
          <t>N</t>
        </is>
      </c>
      <c r="B24" s="17" t="inlineStr">
        <is>
          <t>Tiêu chuẩn
thời gian / Standard time
(Secs/
Prs) / 標准時間
(秒/雙</t>
        </is>
      </c>
      <c r="C24" s="16">
        <f>SUM(N13:N30)</f>
        <v/>
      </c>
      <c r="D24" s="17">
        <f>SUM(N13:N30) ⚠ 7種變體</f>
        <v/>
      </c>
      <c r="E24" s="18" t="inlineStr">
        <is>
          <t>要</t>
        </is>
      </c>
      <c r="F24" s="16" t="inlineStr">
        <is>
          <t>公式(鎖定)</t>
        </is>
      </c>
      <c r="G24" s="19" t="inlineStr">
        <is>
          <t>100%</t>
        </is>
      </c>
      <c r="H24" s="6" t="inlineStr"/>
    </row>
    <row r="25" ht="15" customHeight="1">
      <c r="A25" s="16" t="inlineStr">
        <is>
          <t>O</t>
        </is>
      </c>
      <c r="B25" s="17" t="inlineStr">
        <is>
          <t>Số người
lý luận / Operators in theory / 理论人数</t>
        </is>
      </c>
      <c r="C25" s="16">
        <f>SUM(O13:O30)</f>
        <v/>
      </c>
      <c r="D25" s="17">
        <f>SUM(O13:O30) ⚠ 3種變體</f>
        <v/>
      </c>
      <c r="E25" s="18" t="inlineStr">
        <is>
          <t>要</t>
        </is>
      </c>
      <c r="F25" s="16" t="inlineStr">
        <is>
          <t>公式(鎖定)</t>
        </is>
      </c>
      <c r="G25" s="19" t="inlineStr">
        <is>
          <t>100%</t>
        </is>
      </c>
      <c r="H25" s="6" t="inlineStr"/>
    </row>
    <row r="26" ht="15" customHeight="1">
      <c r="A26" s="16" t="inlineStr">
        <is>
          <t>P</t>
        </is>
      </c>
      <c r="B26" s="17" t="inlineStr">
        <is>
          <t>Tiêu chuẩn
thời gian / Standard time
(Secs/
Prs) / 標准時間
(秒/雙</t>
        </is>
      </c>
      <c r="C26" s="16" t="inlineStr">
        <is>
          <t>24.5</t>
        </is>
      </c>
      <c r="D26" s="17">
        <f>SUM(P13:P30) ⚠ 7種變體</f>
        <v/>
      </c>
      <c r="E26" s="18" t="inlineStr">
        <is>
          <t>要</t>
        </is>
      </c>
      <c r="F26" s="16" t="inlineStr">
        <is>
          <t>公式(鎖定)</t>
        </is>
      </c>
      <c r="G26" s="19" t="inlineStr">
        <is>
          <t>100%</t>
        </is>
      </c>
      <c r="H26" s="6" t="inlineStr"/>
    </row>
    <row r="27" ht="15" customHeight="1">
      <c r="A27" s="16" t="inlineStr">
        <is>
          <t>Q</t>
        </is>
      </c>
      <c r="B27" s="17" t="inlineStr">
        <is>
          <t>Số người
lý luận / Operators in theory / 理论人数</t>
        </is>
      </c>
      <c r="C27" s="16">
        <f>P15/$X$11</f>
        <v/>
      </c>
      <c r="D27" s="17">
        <f>P15/$X$11 ⚠ 2種變體</f>
        <v/>
      </c>
      <c r="E27" s="18" t="inlineStr">
        <is>
          <t>要</t>
        </is>
      </c>
      <c r="F27" s="16" t="inlineStr">
        <is>
          <t>公式(鎖定)</t>
        </is>
      </c>
      <c r="G27" s="19" t="inlineStr">
        <is>
          <t>99%</t>
        </is>
      </c>
      <c r="H27" s="6" t="inlineStr"/>
    </row>
    <row r="28" ht="15" customHeight="1">
      <c r="A28" s="16" t="inlineStr">
        <is>
          <t>R</t>
        </is>
      </c>
      <c r="B28" s="17" t="inlineStr">
        <is>
          <t>Tiêu chuẩn
thời gian / Standard time
(Secs/
Prs) / 標准時間
(秒/雙</t>
        </is>
      </c>
      <c r="C28" s="16" t="inlineStr">
        <is>
          <t>27.6</t>
        </is>
      </c>
      <c r="D28" s="17">
        <f>SUM(R13:R30) ⚠ 8種變體</f>
        <v/>
      </c>
      <c r="E28" s="18" t="inlineStr">
        <is>
          <t>要</t>
        </is>
      </c>
      <c r="F28" s="16" t="inlineStr">
        <is>
          <t>公式(鎖定)</t>
        </is>
      </c>
      <c r="G28" s="19" t="inlineStr">
        <is>
          <t>99%</t>
        </is>
      </c>
      <c r="H28" s="6" t="inlineStr"/>
    </row>
    <row r="29" ht="15" customHeight="1">
      <c r="A29" s="16" t="inlineStr">
        <is>
          <t>S</t>
        </is>
      </c>
      <c r="B29" s="17" t="inlineStr">
        <is>
          <t>Số người
lý luận / Operators in theory / 理论人数</t>
        </is>
      </c>
      <c r="C29" s="16" t="inlineStr">
        <is>
          <t>2</t>
        </is>
      </c>
      <c r="D29" s="17">
        <f>R20/$X$11 ⚠ 3種變體</f>
        <v/>
      </c>
      <c r="E29" s="18" t="inlineStr">
        <is>
          <t>要</t>
        </is>
      </c>
      <c r="F29" s="16" t="inlineStr">
        <is>
          <t>公式(鎖定)</t>
        </is>
      </c>
      <c r="G29" s="19" t="inlineStr">
        <is>
          <t>98%</t>
        </is>
      </c>
      <c r="H29" s="6" t="inlineStr"/>
    </row>
    <row r="30" ht="15" customHeight="1">
      <c r="A30" s="16" t="inlineStr">
        <is>
          <t>T</t>
        </is>
      </c>
      <c r="B30" s="17" t="inlineStr">
        <is>
          <t>Tiêu chuẩn
thời gian / Standard time
(Secs/
Prs) / 標准時間
(秒/雙</t>
        </is>
      </c>
      <c r="C30" s="16" t="inlineStr">
        <is>
          <t>4.2</t>
        </is>
      </c>
      <c r="D30" s="17">
        <f>SUM(T13:T30) ⚠ 5種變體</f>
        <v/>
      </c>
      <c r="E30" s="18" t="inlineStr">
        <is>
          <t>要</t>
        </is>
      </c>
      <c r="F30" s="16" t="inlineStr">
        <is>
          <t>公式(鎖定)</t>
        </is>
      </c>
      <c r="G30" s="19" t="inlineStr">
        <is>
          <t>99%</t>
        </is>
      </c>
      <c r="H30" s="6" t="inlineStr"/>
    </row>
    <row r="31" ht="15" customHeight="1">
      <c r="A31" s="16" t="inlineStr">
        <is>
          <t>U</t>
        </is>
      </c>
      <c r="B31" s="17" t="inlineStr">
        <is>
          <t>Số người
lý luận / Operators in theory / 理论人数</t>
        </is>
      </c>
      <c r="C31" s="16">
        <f>T14/$X$11</f>
        <v/>
      </c>
      <c r="D31" s="17">
        <f>T14/$X$11 ⚠ 2種變體</f>
        <v/>
      </c>
      <c r="E31" s="18" t="inlineStr">
        <is>
          <t>要</t>
        </is>
      </c>
      <c r="F31" s="16" t="inlineStr">
        <is>
          <t>公式(鎖定)</t>
        </is>
      </c>
      <c r="G31" s="19" t="inlineStr">
        <is>
          <t>95%</t>
        </is>
      </c>
      <c r="H31" s="6" t="inlineStr"/>
    </row>
    <row r="32" ht="15" customHeight="1">
      <c r="A32" s="16" t="inlineStr">
        <is>
          <t>V</t>
        </is>
      </c>
      <c r="B32" s="17" t="inlineStr">
        <is>
          <t>Tiêu chuẩn
thời gian / Standard time
(Secs/
Prs) / 標准時間
(秒/雙</t>
        </is>
      </c>
      <c r="C32" s="16" t="inlineStr">
        <is>
          <t>18.5</t>
        </is>
      </c>
      <c r="D32" s="17">
        <f>SUM(V13:V30) ⚠ 4種變體</f>
        <v/>
      </c>
      <c r="E32" s="18" t="inlineStr">
        <is>
          <t>要</t>
        </is>
      </c>
      <c r="F32" s="16" t="inlineStr">
        <is>
          <t>公式(鎖定)</t>
        </is>
      </c>
      <c r="G32" s="19" t="inlineStr">
        <is>
          <t>84%</t>
        </is>
      </c>
      <c r="H32" s="6" t="inlineStr"/>
    </row>
    <row r="33" ht="15" customHeight="1">
      <c r="A33" s="7" t="inlineStr">
        <is>
          <t>W</t>
        </is>
      </c>
      <c r="B33" s="8" t="inlineStr">
        <is>
          <t>Số người
lý luận / Operators in theory / 理论人数</t>
        </is>
      </c>
      <c r="C33" s="7">
        <f>V19/$X$11</f>
        <v/>
      </c>
      <c r="D33" s="8">
        <f>V19/$X$11</f>
        <v/>
      </c>
      <c r="E33" s="9" t="inlineStr">
        <is>
          <t>要</t>
        </is>
      </c>
      <c r="F33" s="7" t="inlineStr">
        <is>
          <t>公式(鎖定)</t>
        </is>
      </c>
      <c r="G33" s="27" t="inlineStr">
        <is>
          <t>76%</t>
        </is>
      </c>
      <c r="H33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ATOM 自動化  |  樣本: header_id=32 sheet="ATOM"  |  總檔數: 189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MÁY CẮT TỰ ĐỘNG 自动裁断机流程分析表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 Auto Cutting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văn kiện: Document No. 文件編號:  I/HYL/C-1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>Tên hình thể : LA TRAINER OG   Mục tiêu sản lượng : 960 đôi/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Model Name : LA TRAINER OG   Target Output : 960 Prs / 8H (1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鞋型名称: LA TRAINER OG   目標產能 : 960双/8H (120双/H)  .  TT：30.0秒/双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7" t="inlineStr">
        <is>
          <t>B</t>
        </is>
      </c>
      <c r="B9" s="8" t="inlineStr">
        <is>
          <t>STT / Seq. No / 序號</t>
        </is>
      </c>
      <c r="C9" s="7" t="inlineStr">
        <is>
          <t>1</t>
        </is>
      </c>
      <c r="D9" s="8">
        <f>'  同材共裁'!B26</f>
        <v/>
      </c>
      <c r="E9" s="9" t="inlineStr">
        <is>
          <t>要</t>
        </is>
      </c>
      <c r="F9" s="7" t="inlineStr">
        <is>
          <t>公式(鎖定)</t>
        </is>
      </c>
      <c r="G9" s="10" t="inlineStr">
        <is>
          <t>100%</t>
        </is>
      </c>
      <c r="H9" s="6" t="inlineStr"/>
    </row>
    <row r="10" ht="15" customHeight="1">
      <c r="A10" s="11" t="inlineStr">
        <is>
          <t>C</t>
        </is>
      </c>
      <c r="B10" s="12" t="inlineStr">
        <is>
          <t>Tên thao tác / Operations Name / 流程名稱:</t>
        </is>
      </c>
      <c r="C10" s="11" t="inlineStr">
        <is>
          <t xml:space="preserve">Thân mũi </t>
        </is>
      </c>
      <c r="D10" s="12" t="inlineStr"/>
      <c r="E10" s="13" t="inlineStr">
        <is>
          <t>要</t>
        </is>
      </c>
      <c r="F10" s="11" t="inlineStr">
        <is>
          <t>人工輸入</t>
        </is>
      </c>
      <c r="G10" s="14" t="inlineStr">
        <is>
          <t>100%</t>
        </is>
      </c>
      <c r="H10" s="6" t="inlineStr"/>
    </row>
    <row r="11" ht="15" customHeight="1">
      <c r="A11" s="11" t="inlineStr">
        <is>
          <t>D</t>
        </is>
      </c>
      <c r="B11" s="12" t="inlineStr">
        <is>
          <t>Số lớp / No.of Layer / 层数</t>
        </is>
      </c>
      <c r="C11" s="11" t="inlineStr">
        <is>
          <t>4</t>
        </is>
      </c>
      <c r="D11" s="12" t="inlineStr"/>
      <c r="E11" s="13" t="inlineStr">
        <is>
          <t>要</t>
        </is>
      </c>
      <c r="F11" s="11" t="inlineStr">
        <is>
          <t>人工輸入</t>
        </is>
      </c>
      <c r="G11" s="14" t="inlineStr">
        <is>
          <t>100%</t>
        </is>
      </c>
      <c r="H11" s="6" t="inlineStr"/>
    </row>
    <row r="12" ht="15" customHeight="1">
      <c r="A12" s="11" t="inlineStr">
        <is>
          <t>E</t>
        </is>
      </c>
      <c r="B12" s="12" t="inlineStr">
        <is>
          <t>Tốc độ của máy / Machine speed / 機器速度</t>
        </is>
      </c>
      <c r="C12" s="11" t="inlineStr">
        <is>
          <t>8</t>
        </is>
      </c>
      <c r="D12" s="12" t="inlineStr"/>
      <c r="E12" s="13" t="inlineStr">
        <is>
          <t>要</t>
        </is>
      </c>
      <c r="F12" s="11" t="inlineStr">
        <is>
          <t>人工輸入</t>
        </is>
      </c>
      <c r="G12" s="14" t="inlineStr">
        <is>
          <t>100%</t>
        </is>
      </c>
      <c r="H12" s="6" t="inlineStr"/>
    </row>
    <row r="13" ht="15" customHeight="1">
      <c r="A13" s="16" t="inlineStr">
        <is>
          <t>F</t>
        </is>
      </c>
      <c r="B13" s="17" t="inlineStr">
        <is>
          <t>Thời gian thực chất / Cycle time
(Sec /
Prs) / 正常時間 (秒/雙)</t>
        </is>
      </c>
      <c r="C13" s="16" t="inlineStr">
        <is>
          <t>6.4</t>
        </is>
      </c>
      <c r="D13" s="17">
        <f>(4*60+40)/14 ⚠ 41種變體</f>
        <v/>
      </c>
      <c r="E13" s="18" t="inlineStr">
        <is>
          <t>要</t>
        </is>
      </c>
      <c r="F13" s="16" t="inlineStr">
        <is>
          <t>公式(鎖定)</t>
        </is>
      </c>
      <c r="G13" s="19" t="inlineStr">
        <is>
          <t>100%</t>
        </is>
      </c>
      <c r="H13" s="6" t="inlineStr"/>
    </row>
    <row r="14" ht="15" customHeight="1">
      <c r="A14" s="11" t="inlineStr">
        <is>
          <t>G</t>
        </is>
      </c>
      <c r="B14" s="12" t="inlineStr">
        <is>
          <t>Trừ hao 12% / Allowance 12% / 寬放率12%</t>
        </is>
      </c>
      <c r="C14" s="11" t="inlineStr">
        <is>
          <t>12</t>
        </is>
      </c>
      <c r="D14" s="12" t="inlineStr"/>
      <c r="E14" s="13" t="inlineStr">
        <is>
          <t>要</t>
        </is>
      </c>
      <c r="F14" s="11" t="inlineStr">
        <is>
          <t>人工輸入</t>
        </is>
      </c>
      <c r="G14" s="14" t="inlineStr">
        <is>
          <t>100%</t>
        </is>
      </c>
      <c r="H14" s="6" t="inlineStr"/>
    </row>
    <row r="15" ht="15" customHeight="1">
      <c r="A15" s="16" t="inlineStr">
        <is>
          <t>H</t>
        </is>
      </c>
      <c r="B15" s="17" t="inlineStr">
        <is>
          <t>Tiêu chuẩn thời gian (Giây/ đôi) / Standard time (Sec/ Prs)</t>
        </is>
      </c>
      <c r="C15" s="16">
        <f>F10*1.12</f>
        <v/>
      </c>
      <c r="D15" s="17">
        <f>F10*1.12 ⚠ 5種變體</f>
        <v/>
      </c>
      <c r="E15" s="18" t="inlineStr">
        <is>
          <t>要</t>
        </is>
      </c>
      <c r="F15" s="16" t="inlineStr">
        <is>
          <t>公式(鎖定)</t>
        </is>
      </c>
      <c r="G15" s="19" t="inlineStr">
        <is>
          <t>100%</t>
        </is>
      </c>
      <c r="H15" s="6" t="inlineStr"/>
    </row>
    <row r="16" ht="15" customHeight="1">
      <c r="A16" s="16" t="inlineStr">
        <is>
          <t>I</t>
        </is>
      </c>
      <c r="B16" s="17" t="inlineStr">
        <is>
          <t>Mục tiêu sản xuất (Đôi / H) / Target output 
(Pair/ Hou</t>
        </is>
      </c>
      <c r="C16" s="16">
        <f>3600/H10</f>
        <v/>
      </c>
      <c r="D16" s="17">
        <f>3600/H10 ⚠ 3種變體</f>
        <v/>
      </c>
      <c r="E16" s="18" t="inlineStr">
        <is>
          <t>要</t>
        </is>
      </c>
      <c r="F16" s="16" t="inlineStr">
        <is>
          <t>公式(鎖定)</t>
        </is>
      </c>
      <c r="G16" s="19" t="inlineStr">
        <is>
          <t>100%</t>
        </is>
      </c>
      <c r="H16" s="6" t="inlineStr"/>
    </row>
    <row r="17" ht="15" customHeight="1">
      <c r="A17" s="16" t="inlineStr">
        <is>
          <t>J</t>
        </is>
      </c>
      <c r="B17" s="17" t="inlineStr">
        <is>
          <t>Số người lý luận / Operators in theory / 理論
人數</t>
        </is>
      </c>
      <c r="C17" s="16">
        <f>H10/$O$9</f>
        <v/>
      </c>
      <c r="D17" s="17">
        <f>H10/$O$9 ⚠ 3種變體</f>
        <v/>
      </c>
      <c r="E17" s="18" t="inlineStr">
        <is>
          <t>要</t>
        </is>
      </c>
      <c r="F17" s="16" t="inlineStr">
        <is>
          <t>公式(鎖定)</t>
        </is>
      </c>
      <c r="G17" s="19" t="inlineStr">
        <is>
          <t>100%</t>
        </is>
      </c>
      <c r="H17" s="6" t="inlineStr"/>
    </row>
    <row r="18" ht="15" customHeight="1">
      <c r="A18" s="16" t="inlineStr">
        <is>
          <t>K</t>
        </is>
      </c>
      <c r="B18" s="17" t="inlineStr">
        <is>
          <t>Số người thực tế IE sắp đặt / No.of Operators / 實際
人數</t>
        </is>
      </c>
      <c r="C18" s="16" t="inlineStr">
        <is>
          <t>1</t>
        </is>
      </c>
      <c r="D18" s="17">
        <f>SUM(K10:K15) ⚠ 4種變體</f>
        <v/>
      </c>
      <c r="E18" s="18" t="inlineStr">
        <is>
          <t>要</t>
        </is>
      </c>
      <c r="F18" s="16" t="inlineStr">
        <is>
          <t>公式(鎖定)</t>
        </is>
      </c>
      <c r="G18" s="19" t="inlineStr">
        <is>
          <t>100%</t>
        </is>
      </c>
      <c r="H18" s="6" t="inlineStr"/>
    </row>
    <row r="19" ht="15" customHeight="1">
      <c r="A19" s="16" t="inlineStr">
        <is>
          <t>L</t>
        </is>
      </c>
      <c r="B19" s="17" t="inlineStr">
        <is>
          <t>Những công cụ sử dụng / Machines 
所用工具 / Tên máy
Name of mac</t>
        </is>
      </c>
      <c r="C19" s="16" t="inlineStr">
        <is>
          <t>ATOM</t>
        </is>
      </c>
      <c r="D19" s="17" t="inlineStr">
        <is>
          <t xml:space="preserve"> ⚠ 2種變體</t>
        </is>
      </c>
      <c r="E19" s="18" t="inlineStr">
        <is>
          <t>要</t>
        </is>
      </c>
      <c r="F19" s="16" t="inlineStr">
        <is>
          <t>人工輸入</t>
        </is>
      </c>
      <c r="G19" s="19" t="inlineStr">
        <is>
          <t>100%</t>
        </is>
      </c>
      <c r="H19" s="6" t="inlineStr"/>
    </row>
    <row r="20" ht="15" customHeight="1">
      <c r="A20" s="16" t="inlineStr">
        <is>
          <t>M</t>
        </is>
      </c>
      <c r="B20" s="17" t="inlineStr">
        <is>
          <t>SL máy
 Quantity of machine 机器數量</t>
        </is>
      </c>
      <c r="C20" s="16" t="inlineStr">
        <is>
          <t>1</t>
        </is>
      </c>
      <c r="D20" s="17">
        <f>SUM(M10:M15) ⚠ 2種變體</f>
        <v/>
      </c>
      <c r="E20" s="18" t="inlineStr">
        <is>
          <t>要</t>
        </is>
      </c>
      <c r="F20" s="16" t="inlineStr">
        <is>
          <t>公式(鎖定)</t>
        </is>
      </c>
      <c r="G20" s="19" t="inlineStr">
        <is>
          <t>100%</t>
        </is>
      </c>
      <c r="H20" s="6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電腦針車 AC  |  樣本: header_id=32 sheet="AC"  |  總檔數: 178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PHA CẮT 裁斷流程分析表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Cutting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Model Name : SS26 LA TRAINER OG               Art: KJ4387-88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11" t="inlineStr">
        <is>
          <t>B</t>
        </is>
      </c>
      <c r="B6" s="12" t="inlineStr">
        <is>
          <t>Phân loại nguyên liệu / 材料类别 / 1.2-1.4MM 
反毛皮 牛二层皮</t>
        </is>
      </c>
      <c r="C6" s="11" t="inlineStr">
        <is>
          <t xml:space="preserve"> 特多龙布+ 2MM 泡棉</t>
        </is>
      </c>
      <c r="D6" s="12" t="inlineStr"/>
      <c r="E6" s="13" t="inlineStr">
        <is>
          <t>要</t>
        </is>
      </c>
      <c r="F6" s="11" t="inlineStr">
        <is>
          <t>人工輸入</t>
        </is>
      </c>
      <c r="G6" s="14" t="inlineStr">
        <is>
          <t>100%</t>
        </is>
      </c>
      <c r="H6" s="6" t="inlineStr"/>
    </row>
    <row r="7" ht="15" customHeight="1">
      <c r="A7" s="23" t="inlineStr">
        <is>
          <t>C</t>
        </is>
      </c>
      <c r="B7" s="24" t="inlineStr">
        <is>
          <t>STT / 序号 / 1</t>
        </is>
      </c>
      <c r="C7" s="23" t="inlineStr">
        <is>
          <t>2</t>
        </is>
      </c>
      <c r="D7" s="24" t="inlineStr"/>
      <c r="E7" s="25" t="inlineStr">
        <is>
          <t>要</t>
        </is>
      </c>
      <c r="F7" s="23" t="inlineStr">
        <is>
          <t>自動帶入</t>
        </is>
      </c>
      <c r="G7" s="26" t="inlineStr">
        <is>
          <t>100%</t>
        </is>
      </c>
      <c r="H7" s="6" t="inlineStr"/>
    </row>
    <row r="8" ht="15" customHeight="1">
      <c r="A8" s="11" t="inlineStr">
        <is>
          <t>D</t>
        </is>
      </c>
      <c r="B8" s="12" t="inlineStr">
        <is>
          <t>Tên phối kiện / 部件名称 / Nắp mũi 前片</t>
        </is>
      </c>
      <c r="C8" s="11" t="inlineStr">
        <is>
          <t>Lỗ dây 鞋眼片</t>
        </is>
      </c>
      <c r="D8" s="12" t="inlineStr"/>
      <c r="E8" s="13" t="inlineStr">
        <is>
          <t>要</t>
        </is>
      </c>
      <c r="F8" s="11" t="inlineStr">
        <is>
          <t>人工輸入</t>
        </is>
      </c>
      <c r="G8" s="14" t="inlineStr">
        <is>
          <t>100%</t>
        </is>
      </c>
      <c r="H8" s="6" t="inlineStr"/>
    </row>
    <row r="9" ht="15" customHeight="1">
      <c r="A9" s="11" t="inlineStr">
        <is>
          <t>E</t>
        </is>
      </c>
      <c r="B9" s="12" t="inlineStr">
        <is>
          <t>Số
lớp / 层数 / 1</t>
        </is>
      </c>
      <c r="C9" s="11" t="inlineStr">
        <is>
          <t>1</t>
        </is>
      </c>
      <c r="D9" s="12" t="inlineStr"/>
      <c r="E9" s="13" t="inlineStr">
        <is>
          <t>要</t>
        </is>
      </c>
      <c r="F9" s="11" t="inlineStr">
        <is>
          <t>人工輸入</t>
        </is>
      </c>
      <c r="G9" s="14" t="inlineStr">
        <is>
          <t>100%</t>
        </is>
      </c>
      <c r="H9" s="6" t="inlineStr"/>
    </row>
    <row r="10" ht="15" customHeight="1">
      <c r="A10" s="16" t="inlineStr">
        <is>
          <t>F</t>
        </is>
      </c>
      <c r="B10" s="17" t="inlineStr">
        <is>
          <t>Số 
phối kiện (đôi) / 片数
(雙) / 2</t>
        </is>
      </c>
      <c r="C10" s="16" t="inlineStr">
        <is>
          <t>2</t>
        </is>
      </c>
      <c r="D10" s="17">
        <f>SUM(F7:F26) ⚠ 2種變體</f>
        <v/>
      </c>
      <c r="E10" s="18" t="inlineStr">
        <is>
          <t>要</t>
        </is>
      </c>
      <c r="F10" s="16" t="inlineStr">
        <is>
          <t>公式(鎖定)</t>
        </is>
      </c>
      <c r="G10" s="19" t="inlineStr">
        <is>
          <t>100%</t>
        </is>
      </c>
      <c r="H10" s="6" t="inlineStr"/>
    </row>
    <row r="11" ht="15" customHeight="1">
      <c r="A11" s="16" t="inlineStr">
        <is>
          <t>G</t>
        </is>
      </c>
      <c r="B11" s="17" t="inlineStr">
        <is>
          <t>Pha cắt / 裁断 / EMMA</t>
        </is>
      </c>
      <c r="C11" s="16" t="inlineStr">
        <is>
          <t>ATOM</t>
        </is>
      </c>
      <c r="D11" s="17" t="inlineStr">
        <is>
          <t xml:space="preserve"> ⚠ 2種變體</t>
        </is>
      </c>
      <c r="E11" s="18" t="inlineStr">
        <is>
          <t>要</t>
        </is>
      </c>
      <c r="F11" s="16" t="inlineStr">
        <is>
          <t>人工輸入</t>
        </is>
      </c>
      <c r="G11" s="19" t="inlineStr">
        <is>
          <t>100%</t>
        </is>
      </c>
      <c r="H11" s="6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Stitching 針車  |  樣本: header_id=32 sheet="Stitching"  |  總檔數: 193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ĐƠN VỊ MAY針車流程分析表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Stitching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văn kiện : Document No. 文件編號: I/HYL/S-1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>Tên hình thể : LA TRAINER OG   Mục tiêu sản lượng : 960 đôi/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Model Name : LA TRAINER OG   Target Output : 960 Prs / 8H (1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鞋型名称: LA TRAINER OG   目標產能 : 960双/8H (120双/H)  .  TT：30.0秒/双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7" t="inlineStr">
        <is>
          <t>B</t>
        </is>
      </c>
      <c r="B9" s="8" t="inlineStr">
        <is>
          <t>STT / Seq.No / 序號</t>
        </is>
      </c>
      <c r="C9" s="7" t="inlineStr">
        <is>
          <t>1</t>
        </is>
      </c>
      <c r="D9" s="8">
        <f>SUM.C2B!B35</f>
        <v/>
      </c>
      <c r="E9" s="9" t="inlineStr">
        <is>
          <t>要</t>
        </is>
      </c>
      <c r="F9" s="7" t="inlineStr">
        <is>
          <t>公式(鎖定)</t>
        </is>
      </c>
      <c r="G9" s="10" t="inlineStr">
        <is>
          <t>100%</t>
        </is>
      </c>
      <c r="H9" s="6" t="inlineStr"/>
    </row>
    <row r="10" ht="15" customHeight="1">
      <c r="A10" s="11" t="inlineStr">
        <is>
          <t>C</t>
        </is>
      </c>
      <c r="B10" s="12" t="inlineStr">
        <is>
          <t>Tên thao tác / Operations Name / 流程名稱:</t>
        </is>
      </c>
      <c r="C10" s="11" t="inlineStr">
        <is>
          <t>May cuộn ống</t>
        </is>
      </c>
      <c r="D10" s="12" t="inlineStr"/>
      <c r="E10" s="13" t="inlineStr">
        <is>
          <t>要</t>
        </is>
      </c>
      <c r="F10" s="11" t="inlineStr">
        <is>
          <t>人工輸入</t>
        </is>
      </c>
      <c r="G10" s="14" t="inlineStr">
        <is>
          <t>100%</t>
        </is>
      </c>
      <c r="H10" s="6" t="inlineStr"/>
    </row>
    <row r="11" ht="15" customHeight="1">
      <c r="A11" s="16" t="inlineStr">
        <is>
          <t>D</t>
        </is>
      </c>
      <c r="B11" s="17" t="inlineStr">
        <is>
          <t>Thời gian 
thực chất / Cycle time
(Secs/
Prs) / 正常時間 (秒/雙)</t>
        </is>
      </c>
      <c r="C11" s="16" t="inlineStr">
        <is>
          <t>54.8</t>
        </is>
      </c>
      <c r="D11" s="17">
        <f>'Sub.Stitching '!D38 ⚠ 2種變體</f>
        <v/>
      </c>
      <c r="E11" s="18" t="inlineStr">
        <is>
          <t>要</t>
        </is>
      </c>
      <c r="F11" s="16" t="inlineStr">
        <is>
          <t>公式(鎖定)</t>
        </is>
      </c>
      <c r="G11" s="19" t="inlineStr">
        <is>
          <t>100%</t>
        </is>
      </c>
      <c r="H11" s="6" t="inlineStr"/>
    </row>
    <row r="12" ht="15" customHeight="1">
      <c r="A12" s="11" t="inlineStr">
        <is>
          <t>E</t>
        </is>
      </c>
      <c r="B12" s="12" t="inlineStr">
        <is>
          <t>Trừ hao
10% / Allowance (10%) / 寬放率%</t>
        </is>
      </c>
      <c r="C12" s="11" t="inlineStr">
        <is>
          <t>10</t>
        </is>
      </c>
      <c r="D12" s="12" t="inlineStr"/>
      <c r="E12" s="13" t="inlineStr">
        <is>
          <t>要</t>
        </is>
      </c>
      <c r="F12" s="11" t="inlineStr">
        <is>
          <t>人工輸入</t>
        </is>
      </c>
      <c r="G12" s="14" t="inlineStr">
        <is>
          <t>100%</t>
        </is>
      </c>
      <c r="H12" s="6" t="inlineStr"/>
    </row>
    <row r="13" ht="15" customHeight="1">
      <c r="A13" s="7" t="inlineStr">
        <is>
          <t>F</t>
        </is>
      </c>
      <c r="B13" s="8" t="inlineStr">
        <is>
          <t>Tiêu chuẩn thời gian
giây/đôi / Standard time
 (Secs/
Prs</t>
        </is>
      </c>
      <c r="C13" s="7">
        <f>D10*1.1</f>
        <v/>
      </c>
      <c r="D13" s="8">
        <f>D10*1.1</f>
        <v/>
      </c>
      <c r="E13" s="9" t="inlineStr">
        <is>
          <t>要</t>
        </is>
      </c>
      <c r="F13" s="7" t="inlineStr">
        <is>
          <t>公式(鎖定)</t>
        </is>
      </c>
      <c r="G13" s="10" t="inlineStr">
        <is>
          <t>100%</t>
        </is>
      </c>
      <c r="H13" s="6" t="inlineStr"/>
    </row>
    <row r="14" ht="15" customHeight="1">
      <c r="A14" s="7" t="inlineStr">
        <is>
          <t>G</t>
        </is>
      </c>
      <c r="B14" s="8" t="inlineStr">
        <is>
          <t>Mục tiêu
sản xuất
(đôi/H) / Target output 
(Pair/ Hou</t>
        </is>
      </c>
      <c r="C14" s="7">
        <f>3600/F10</f>
        <v/>
      </c>
      <c r="D14" s="8">
        <f>3600/F10</f>
        <v/>
      </c>
      <c r="E14" s="9" t="inlineStr">
        <is>
          <t>要</t>
        </is>
      </c>
      <c r="F14" s="7" t="inlineStr">
        <is>
          <t>公式(鎖定)</t>
        </is>
      </c>
      <c r="G14" s="10" t="inlineStr">
        <is>
          <t>100%</t>
        </is>
      </c>
      <c r="H14" s="6" t="inlineStr"/>
    </row>
    <row r="15" ht="15" customHeight="1">
      <c r="A15" s="16" t="inlineStr">
        <is>
          <t>H</t>
        </is>
      </c>
      <c r="B15" s="17" t="inlineStr">
        <is>
          <t>Số người lý luận / Operators in theory / 理論人數</t>
        </is>
      </c>
      <c r="C15" s="16" t="inlineStr">
        <is>
          <t>2</t>
        </is>
      </c>
      <c r="D15" s="17">
        <f>F10/$M$8 ⚠ 4種變體</f>
        <v/>
      </c>
      <c r="E15" s="18" t="inlineStr">
        <is>
          <t>要</t>
        </is>
      </c>
      <c r="F15" s="16" t="inlineStr">
        <is>
          <t>公式(鎖定)</t>
        </is>
      </c>
      <c r="G15" s="19" t="inlineStr">
        <is>
          <t>100%</t>
        </is>
      </c>
      <c r="H15" s="6" t="inlineStr"/>
    </row>
    <row r="16" ht="15" customHeight="1">
      <c r="A16" s="7" t="inlineStr">
        <is>
          <t>I</t>
        </is>
      </c>
      <c r="B16" s="8" t="inlineStr">
        <is>
          <t>Số người 
thực tế
IE sắp đặt / No.of Operators / 實際人數</t>
        </is>
      </c>
      <c r="C16" s="7" t="inlineStr">
        <is>
          <t>2</t>
        </is>
      </c>
      <c r="D16" s="8">
        <f>'Sub.Stitching '!I38</f>
        <v/>
      </c>
      <c r="E16" s="9" t="inlineStr">
        <is>
          <t>要</t>
        </is>
      </c>
      <c r="F16" s="7" t="inlineStr">
        <is>
          <t>公式(鎖定)</t>
        </is>
      </c>
      <c r="G16" s="10" t="inlineStr">
        <is>
          <t>100%</t>
        </is>
      </c>
      <c r="H16" s="6" t="inlineStr"/>
    </row>
    <row r="17" ht="15" customHeight="1">
      <c r="A17" s="11" t="inlineStr">
        <is>
          <t>J</t>
        </is>
      </c>
      <c r="B17" s="12" t="inlineStr">
        <is>
          <t>Những công cụ sử dụng
Machines 
所用工具 / Những công cụ sử dụng</t>
        </is>
      </c>
      <c r="C17" s="11" t="inlineStr">
        <is>
          <t>Máy 1 kim
高单机</t>
        </is>
      </c>
      <c r="D17" s="12" t="inlineStr"/>
      <c r="E17" s="13" t="inlineStr">
        <is>
          <t>要</t>
        </is>
      </c>
      <c r="F17" s="11" t="inlineStr">
        <is>
          <t>人工輸入</t>
        </is>
      </c>
      <c r="G17" s="14" t="inlineStr">
        <is>
          <t>100%</t>
        </is>
      </c>
      <c r="H17" s="6" t="inlineStr"/>
    </row>
    <row r="18" ht="15" customHeight="1">
      <c r="A18" s="7" t="inlineStr">
        <is>
          <t>K</t>
        </is>
      </c>
      <c r="B18" s="8" t="inlineStr">
        <is>
          <t>Số lượng máy
 Quantity of machine 
机器數量</t>
        </is>
      </c>
      <c r="C18" s="7" t="inlineStr">
        <is>
          <t>2</t>
        </is>
      </c>
      <c r="D18" s="8">
        <f>'Sub.Stitching '!K38</f>
        <v/>
      </c>
      <c r="E18" s="9" t="inlineStr">
        <is>
          <t>要</t>
        </is>
      </c>
      <c r="F18" s="7" t="inlineStr">
        <is>
          <t>公式(鎖定)</t>
        </is>
      </c>
      <c r="G18" s="10" t="inlineStr">
        <is>
          <t>100%</t>
        </is>
      </c>
      <c r="H18" s="6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Assembly.1 成型1  |  樣本: header_id=32 sheet="Assembly.1"  |  總檔數: 194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ĐƠN VỊ GÒ  成型流程分析表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Assembly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văn kiện : Document No. 文件編號: I/HYL /A-1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>Tên hình thể : LA TRAINER OG   Mục tiêu sản lượng : 960 đôi/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Model Name : LA TRAINER OG   Target Output : 960 Prs / 8H (1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鞋型名称: LA TRAINER OG   目標產能 : 960双/8H (120双/H)  .  TT：30.0秒/双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7" t="inlineStr">
        <is>
          <t>B</t>
        </is>
      </c>
      <c r="B9" s="8" t="inlineStr">
        <is>
          <t>STT / Seq.No / 序號</t>
        </is>
      </c>
      <c r="C9" s="7" t="inlineStr">
        <is>
          <t>1</t>
        </is>
      </c>
      <c r="D9" s="8">
        <f>SUM.C2B!B35</f>
        <v/>
      </c>
      <c r="E9" s="9" t="inlineStr">
        <is>
          <t>要</t>
        </is>
      </c>
      <c r="F9" s="7" t="inlineStr">
        <is>
          <t>公式(鎖定)</t>
        </is>
      </c>
      <c r="G9" s="10" t="inlineStr">
        <is>
          <t>100%</t>
        </is>
      </c>
      <c r="H9" s="6" t="inlineStr"/>
    </row>
    <row r="10" ht="15" customHeight="1">
      <c r="A10" s="11" t="inlineStr">
        <is>
          <t>C</t>
        </is>
      </c>
      <c r="B10" s="12" t="inlineStr">
        <is>
          <t>Tên thao tác / Operations Name / 流程名稱:</t>
        </is>
      </c>
      <c r="C10" s="11" t="inlineStr">
        <is>
          <t>Xỏ dây</t>
        </is>
      </c>
      <c r="D10" s="12" t="inlineStr"/>
      <c r="E10" s="13" t="inlineStr">
        <is>
          <t>要</t>
        </is>
      </c>
      <c r="F10" s="11" t="inlineStr">
        <is>
          <t>人工輸入</t>
        </is>
      </c>
      <c r="G10" s="14" t="inlineStr">
        <is>
          <t>100%</t>
        </is>
      </c>
      <c r="H10" s="6" t="inlineStr"/>
    </row>
    <row r="11" ht="15" customHeight="1">
      <c r="A11" s="16" t="inlineStr">
        <is>
          <t>D</t>
        </is>
      </c>
      <c r="B11" s="17" t="inlineStr">
        <is>
          <t>Thời gian 
thực chất / Cycle time
(Secs/
Prs) / 正常時間 (秒/雙)</t>
        </is>
      </c>
      <c r="C11" s="16" t="inlineStr">
        <is>
          <t>81</t>
        </is>
      </c>
      <c r="D11" s="17">
        <f>SUM(D10:D55) ⚠ 4種變體</f>
        <v/>
      </c>
      <c r="E11" s="18" t="inlineStr">
        <is>
          <t>要</t>
        </is>
      </c>
      <c r="F11" s="16" t="inlineStr">
        <is>
          <t>公式(鎖定)</t>
        </is>
      </c>
      <c r="G11" s="19" t="inlineStr">
        <is>
          <t>100%</t>
        </is>
      </c>
      <c r="H11" s="6" t="inlineStr"/>
    </row>
    <row r="12" ht="15" customHeight="1">
      <c r="A12" s="11" t="inlineStr">
        <is>
          <t>E</t>
        </is>
      </c>
      <c r="B12" s="12" t="inlineStr">
        <is>
          <t>Trừ hao
10% / Allowance (10%) / 寬放率%</t>
        </is>
      </c>
      <c r="C12" s="11" t="inlineStr">
        <is>
          <t>10</t>
        </is>
      </c>
      <c r="D12" s="12" t="inlineStr"/>
      <c r="E12" s="13" t="inlineStr">
        <is>
          <t>要</t>
        </is>
      </c>
      <c r="F12" s="11" t="inlineStr">
        <is>
          <t>人工輸入</t>
        </is>
      </c>
      <c r="G12" s="14" t="inlineStr">
        <is>
          <t>100%</t>
        </is>
      </c>
      <c r="H12" s="6" t="inlineStr"/>
    </row>
    <row r="13" ht="15" customHeight="1">
      <c r="A13" s="7" t="inlineStr">
        <is>
          <t>F</t>
        </is>
      </c>
      <c r="B13" s="8" t="inlineStr">
        <is>
          <t>Tiêu chuẩn thời gian
giây/đôi / Standard time
 (Secs/
Prs</t>
        </is>
      </c>
      <c r="C13" s="7">
        <f>D10*1.1</f>
        <v/>
      </c>
      <c r="D13" s="8">
        <f>D10*1.1</f>
        <v/>
      </c>
      <c r="E13" s="9" t="inlineStr">
        <is>
          <t>要</t>
        </is>
      </c>
      <c r="F13" s="7" t="inlineStr">
        <is>
          <t>公式(鎖定)</t>
        </is>
      </c>
      <c r="G13" s="10" t="inlineStr">
        <is>
          <t>100%</t>
        </is>
      </c>
      <c r="H13" s="6" t="inlineStr"/>
    </row>
    <row r="14" ht="15" customHeight="1">
      <c r="A14" s="16" t="inlineStr">
        <is>
          <t>G</t>
        </is>
      </c>
      <c r="B14" s="17" t="inlineStr">
        <is>
          <t>Mục tiêu
sản xuất
(đôi/H) / Target output 
(Pair/ Hou</t>
        </is>
      </c>
      <c r="C14" s="16">
        <f>3600/F10</f>
        <v/>
      </c>
      <c r="D14" s="17">
        <f>3600/F10 ⚠ 2種變體</f>
        <v/>
      </c>
      <c r="E14" s="18" t="inlineStr">
        <is>
          <t>要</t>
        </is>
      </c>
      <c r="F14" s="16" t="inlineStr">
        <is>
          <t>公式(鎖定)</t>
        </is>
      </c>
      <c r="G14" s="19" t="inlineStr">
        <is>
          <t>100%</t>
        </is>
      </c>
      <c r="H14" s="6" t="inlineStr"/>
    </row>
    <row r="15" ht="15" customHeight="1">
      <c r="A15" s="16" t="inlineStr">
        <is>
          <t>H</t>
        </is>
      </c>
      <c r="B15" s="17" t="inlineStr">
        <is>
          <t>Số người
lý luận / Operators in theory / 理論人數</t>
        </is>
      </c>
      <c r="C15" s="16">
        <f>F10/$N$8</f>
        <v/>
      </c>
      <c r="D15" s="17">
        <f>F10/$N$8 ⚠ 2種變體</f>
        <v/>
      </c>
      <c r="E15" s="18" t="inlineStr">
        <is>
          <t>要</t>
        </is>
      </c>
      <c r="F15" s="16" t="inlineStr">
        <is>
          <t>公式(鎖定)</t>
        </is>
      </c>
      <c r="G15" s="19" t="inlineStr">
        <is>
          <t>100%</t>
        </is>
      </c>
      <c r="H15" s="6" t="inlineStr"/>
    </row>
    <row r="16" ht="15" customHeight="1">
      <c r="A16" s="7" t="inlineStr">
        <is>
          <t>I</t>
        </is>
      </c>
      <c r="B16" s="8" t="inlineStr">
        <is>
          <t>Số người 
thực tế
IE sắp đặt / No.of Operators / 實際人數</t>
        </is>
      </c>
      <c r="C16" s="7" t="inlineStr">
        <is>
          <t>3</t>
        </is>
      </c>
      <c r="D16" s="8">
        <f>SUM(I10:I55)</f>
        <v/>
      </c>
      <c r="E16" s="9" t="inlineStr">
        <is>
          <t>要</t>
        </is>
      </c>
      <c r="F16" s="7" t="inlineStr">
        <is>
          <t>公式(鎖定)</t>
        </is>
      </c>
      <c r="G16" s="10" t="inlineStr">
        <is>
          <t>100%</t>
        </is>
      </c>
      <c r="H16" s="6" t="inlineStr"/>
    </row>
    <row r="17" ht="15" customHeight="1">
      <c r="A17" s="11" t="inlineStr">
        <is>
          <t>J</t>
        </is>
      </c>
      <c r="B17" s="12" t="inlineStr">
        <is>
          <t>Những công cụ sử dụng
Machines 
所用工具 / Tên máy
Name of 
mach</t>
        </is>
      </c>
      <c r="C17" s="11" t="inlineStr">
        <is>
          <t>Thủ công
 手工</t>
        </is>
      </c>
      <c r="D17" s="12" t="inlineStr"/>
      <c r="E17" s="13" t="inlineStr">
        <is>
          <t>要</t>
        </is>
      </c>
      <c r="F17" s="11" t="inlineStr">
        <is>
          <t>人工輸入</t>
        </is>
      </c>
      <c r="G17" s="14" t="inlineStr">
        <is>
          <t>100%</t>
        </is>
      </c>
      <c r="H17" s="6" t="inlineStr"/>
    </row>
    <row r="18" ht="15" customHeight="1">
      <c r="A18" s="7" t="inlineStr">
        <is>
          <t>K</t>
        </is>
      </c>
      <c r="B18" s="8" t="inlineStr">
        <is>
          <t>Số lượng máy
 Quantity of machine 
机器數量</t>
        </is>
      </c>
      <c r="C18" s="7" t="inlineStr">
        <is>
          <t>1</t>
        </is>
      </c>
      <c r="D18" s="8">
        <f>SUM(K10:K55)</f>
        <v/>
      </c>
      <c r="E18" s="9" t="inlineStr">
        <is>
          <t>要</t>
        </is>
      </c>
      <c r="F18" s="7" t="inlineStr">
        <is>
          <t>公式(鎖定)</t>
        </is>
      </c>
      <c r="G18" s="10" t="inlineStr">
        <is>
          <t>100%</t>
        </is>
      </c>
      <c r="H18" s="6" t="inlineStr"/>
    </row>
    <row r="19" ht="15" customHeight="1">
      <c r="A19" s="16" t="inlineStr">
        <is>
          <t>L</t>
        </is>
      </c>
      <c r="B19" s="17" t="inlineStr">
        <is>
          <t>Ghi chú / Remarks / 備注</t>
        </is>
      </c>
      <c r="C19" s="16">
        <f>28800/F12*K12</f>
        <v/>
      </c>
      <c r="D19" s="17">
        <f>28800/F12*K12 ⚠ 2種變體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8C00"/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Assembly.2 成型2  |  樣本: header_id=32 sheet="Assembly.2"  |  總檔數: 193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PHÂN TÍCH LƯU TRÌNH ĐƠN VỊ GÒ  成型流程分析表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(OB) - Assembly Section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văn kiện : Document No. 文件編號: I/HYL /A-1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>Tên hình thể : LA TRAINER OG   Mục tiêu sản lượng : 960 đôi/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Model Name : LA TRAINER OG   Target Output : 960 Prs / 8H (1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鞋型名称: LA TRAINER OG   目標產能 : 960双/8H (120双/H)  .  TT：30.0秒/双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7" t="inlineStr">
        <is>
          <t>B</t>
        </is>
      </c>
      <c r="B9" s="8" t="inlineStr">
        <is>
          <t>STT / Seq.No / 序號</t>
        </is>
      </c>
      <c r="C9" s="7" t="inlineStr">
        <is>
          <t>24</t>
        </is>
      </c>
      <c r="D9" s="8">
        <f>SUM.C2B!B35</f>
        <v/>
      </c>
      <c r="E9" s="9" t="inlineStr">
        <is>
          <t>要</t>
        </is>
      </c>
      <c r="F9" s="7" t="inlineStr">
        <is>
          <t>公式(鎖定)</t>
        </is>
      </c>
      <c r="G9" s="10" t="inlineStr">
        <is>
          <t>100%</t>
        </is>
      </c>
      <c r="H9" s="6" t="inlineStr"/>
    </row>
    <row r="10" ht="15" customHeight="1">
      <c r="A10" s="11" t="inlineStr">
        <is>
          <t>C</t>
        </is>
      </c>
      <c r="B10" s="12" t="inlineStr">
        <is>
          <t>Tên thao tác / Operations Name / 流程名稱:</t>
        </is>
      </c>
      <c r="C10" s="11" t="inlineStr">
        <is>
          <t>Dán miếng chèn đế giữa</t>
        </is>
      </c>
      <c r="D10" s="12" t="inlineStr"/>
      <c r="E10" s="13" t="inlineStr">
        <is>
          <t>要</t>
        </is>
      </c>
      <c r="F10" s="11" t="inlineStr">
        <is>
          <t>人工輸入</t>
        </is>
      </c>
      <c r="G10" s="14" t="inlineStr">
        <is>
          <t>100%</t>
        </is>
      </c>
      <c r="H10" s="6" t="inlineStr"/>
    </row>
    <row r="11" ht="15" customHeight="1">
      <c r="A11" s="16" t="inlineStr">
        <is>
          <t>D</t>
        </is>
      </c>
      <c r="B11" s="17" t="inlineStr">
        <is>
          <t>Thời gian 
thực chất / Cycle time
(Secs/
Prs) / 正常時間 (秒/雙)</t>
        </is>
      </c>
      <c r="C11" s="16" t="inlineStr">
        <is>
          <t>20.7</t>
        </is>
      </c>
      <c r="D11" s="17">
        <f>SUM(D10:D49)+Assembly.1!D61 ⚠ 3種變體</f>
        <v/>
      </c>
      <c r="E11" s="18" t="inlineStr">
        <is>
          <t>要</t>
        </is>
      </c>
      <c r="F11" s="16" t="inlineStr">
        <is>
          <t>公式(鎖定)</t>
        </is>
      </c>
      <c r="G11" s="19" t="inlineStr">
        <is>
          <t>100%</t>
        </is>
      </c>
      <c r="H11" s="6" t="inlineStr"/>
    </row>
    <row r="12" ht="15" customHeight="1">
      <c r="A12" s="11" t="inlineStr">
        <is>
          <t>E</t>
        </is>
      </c>
      <c r="B12" s="12" t="inlineStr">
        <is>
          <t>Trừ hao
10% / Allowance (10%) / 寬放率%</t>
        </is>
      </c>
      <c r="C12" s="11" t="inlineStr">
        <is>
          <t>10</t>
        </is>
      </c>
      <c r="D12" s="12" t="inlineStr"/>
      <c r="E12" s="13" t="inlineStr">
        <is>
          <t>要</t>
        </is>
      </c>
      <c r="F12" s="11" t="inlineStr">
        <is>
          <t>人工輸入</t>
        </is>
      </c>
      <c r="G12" s="14" t="inlineStr">
        <is>
          <t>100%</t>
        </is>
      </c>
      <c r="H12" s="6" t="inlineStr"/>
    </row>
    <row r="13" ht="15" customHeight="1">
      <c r="A13" s="7" t="inlineStr">
        <is>
          <t>F</t>
        </is>
      </c>
      <c r="B13" s="8" t="inlineStr">
        <is>
          <t>Tiêu chuẩn thời gian
giây/đôi / Standard time
 (Secs/
Prs</t>
        </is>
      </c>
      <c r="C13" s="7">
        <f>D10*1.1</f>
        <v/>
      </c>
      <c r="D13" s="8">
        <f>D10*1.1</f>
        <v/>
      </c>
      <c r="E13" s="9" t="inlineStr">
        <is>
          <t>要</t>
        </is>
      </c>
      <c r="F13" s="7" t="inlineStr">
        <is>
          <t>公式(鎖定)</t>
        </is>
      </c>
      <c r="G13" s="10" t="inlineStr">
        <is>
          <t>100%</t>
        </is>
      </c>
      <c r="H13" s="6" t="inlineStr"/>
    </row>
    <row r="14" ht="15" customHeight="1">
      <c r="A14" s="7" t="inlineStr">
        <is>
          <t>G</t>
        </is>
      </c>
      <c r="B14" s="8" t="inlineStr">
        <is>
          <t>Mục tiêu
sản xuất
(đôi/H) / Target output 
(Pair/ Hou</t>
        </is>
      </c>
      <c r="C14" s="7">
        <f>3600/F10</f>
        <v/>
      </c>
      <c r="D14" s="8">
        <f>3600/F10</f>
        <v/>
      </c>
      <c r="E14" s="9" t="inlineStr">
        <is>
          <t>要</t>
        </is>
      </c>
      <c r="F14" s="7" t="inlineStr">
        <is>
          <t>公式(鎖定)</t>
        </is>
      </c>
      <c r="G14" s="10" t="inlineStr">
        <is>
          <t>100%</t>
        </is>
      </c>
      <c r="H14" s="6" t="inlineStr"/>
    </row>
    <row r="15" ht="15" customHeight="1">
      <c r="A15" s="16" t="inlineStr">
        <is>
          <t>H</t>
        </is>
      </c>
      <c r="B15" s="17" t="inlineStr">
        <is>
          <t>Số người
lý luận / Operators in theory / 理論人數</t>
        </is>
      </c>
      <c r="C15" s="16" t="inlineStr">
        <is>
          <t>2</t>
        </is>
      </c>
      <c r="D15" s="17">
        <f>F10/$N$8 ⚠ 6種變體</f>
        <v/>
      </c>
      <c r="E15" s="18" t="inlineStr">
        <is>
          <t>要</t>
        </is>
      </c>
      <c r="F15" s="16" t="inlineStr">
        <is>
          <t>公式(鎖定)</t>
        </is>
      </c>
      <c r="G15" s="19" t="inlineStr">
        <is>
          <t>100%</t>
        </is>
      </c>
      <c r="H15" s="6" t="inlineStr"/>
    </row>
    <row r="16" ht="15" customHeight="1">
      <c r="A16" s="7" t="inlineStr">
        <is>
          <t>I</t>
        </is>
      </c>
      <c r="B16" s="8" t="inlineStr">
        <is>
          <t>Số người 
thực tế
IE sắp đặt / No.of Operators / 實際人數</t>
        </is>
      </c>
      <c r="C16" s="7" t="inlineStr">
        <is>
          <t>1</t>
        </is>
      </c>
      <c r="D16" s="8">
        <f>SUM(I10:I49)+Assembly.1!I61</f>
        <v/>
      </c>
      <c r="E16" s="9" t="inlineStr">
        <is>
          <t>要</t>
        </is>
      </c>
      <c r="F16" s="7" t="inlineStr">
        <is>
          <t>公式(鎖定)</t>
        </is>
      </c>
      <c r="G16" s="10" t="inlineStr">
        <is>
          <t>100%</t>
        </is>
      </c>
      <c r="H16" s="6" t="inlineStr"/>
    </row>
    <row r="17" ht="15" customHeight="1">
      <c r="A17" s="11" t="inlineStr">
        <is>
          <t>J</t>
        </is>
      </c>
      <c r="B17" s="12" t="inlineStr">
        <is>
          <t>Những công cụ sử dụng
Machines 
所用工具 / Tên máy
Name of 
mach</t>
        </is>
      </c>
      <c r="C17" s="11" t="inlineStr">
        <is>
          <t>Máy lăn keo
過膠機</t>
        </is>
      </c>
      <c r="D17" s="12" t="inlineStr"/>
      <c r="E17" s="13" t="inlineStr">
        <is>
          <t>要</t>
        </is>
      </c>
      <c r="F17" s="11" t="inlineStr">
        <is>
          <t>人工輸入</t>
        </is>
      </c>
      <c r="G17" s="14" t="inlineStr">
        <is>
          <t>100%</t>
        </is>
      </c>
      <c r="H17" s="6" t="inlineStr"/>
    </row>
    <row r="18" ht="15" customHeight="1">
      <c r="A18" s="7" t="inlineStr">
        <is>
          <t>K</t>
        </is>
      </c>
      <c r="B18" s="8" t="inlineStr">
        <is>
          <t>Số lượng máy
 Quantity of machine 
机器數量</t>
        </is>
      </c>
      <c r="C18" s="7" t="inlineStr">
        <is>
          <t>1</t>
        </is>
      </c>
      <c r="D18" s="8">
        <f>SUM(K10:K49)+Assembly.1!K61</f>
        <v/>
      </c>
      <c r="E18" s="9" t="inlineStr">
        <is>
          <t>要</t>
        </is>
      </c>
      <c r="F18" s="7" t="inlineStr">
        <is>
          <t>公式(鎖定)</t>
        </is>
      </c>
      <c r="G18" s="10" t="inlineStr">
        <is>
          <t>100%</t>
        </is>
      </c>
      <c r="H18" s="6" t="inlineStr"/>
    </row>
    <row r="19" ht="15" customHeight="1">
      <c r="A19" s="16" t="inlineStr">
        <is>
          <t>L</t>
        </is>
      </c>
      <c r="B19" s="17" t="inlineStr">
        <is>
          <t>Ghi chú / Remarks / 備注</t>
        </is>
      </c>
      <c r="C19" s="16">
        <f>28800/(90/(150/40))</f>
        <v/>
      </c>
      <c r="D19" s="17">
        <f>28800/(90/(150/40)) ⚠ 6種變體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  <row r="20" ht="15" customHeight="1">
      <c r="A20" s="11" t="inlineStr">
        <is>
          <t>M</t>
        </is>
      </c>
      <c r="B20" s="12" t="inlineStr">
        <is>
          <t>(無標題 M)</t>
        </is>
      </c>
      <c r="C20" s="11" t="inlineStr">
        <is>
          <t>Dài 1.5m,1ô 40 cm 
烘箱长1.5m,1 格40cm</t>
        </is>
      </c>
      <c r="D20" s="12" t="inlineStr"/>
      <c r="E20" s="13" t="inlineStr">
        <is>
          <t>要</t>
        </is>
      </c>
      <c r="F20" s="11" t="inlineStr">
        <is>
          <t>人工輸入</t>
        </is>
      </c>
      <c r="G20" s="14" t="inlineStr">
        <is>
          <t>98%</t>
        </is>
      </c>
      <c r="H20" s="6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SUM C2B  |  樣本: header_id=32 sheet="SUM.C2B"  |  總檔數: 195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TÓM TẮT QUÁ TRÌNH  SẢN XUẤT   生产流程分析表
OPERATION BREAKDO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 xml:space="preserve">Tên hình thể sản xuất  Product Brand Name 鞋型名称:  LA TRAINER 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第3行</t>
        </is>
      </c>
      <c r="B5" s="4" t="inlineStr">
        <is>
          <t>Mã số Article: KH9680-81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第4行</t>
        </is>
      </c>
      <c r="B6" s="4" t="inlineStr">
        <is>
          <t>Loại nguyên liệu Material 材料类: Vải lưới+ da lộn+ da giả/ Mes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第5行</t>
        </is>
      </c>
      <c r="B7" s="4" t="inlineStr">
        <is>
          <t>Mùa sản xuất Season  生产季度: FW26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第6行</t>
        </is>
      </c>
      <c r="B8" s="4" t="inlineStr">
        <is>
          <t>Mã loại Category: Originals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3" t="inlineStr">
        <is>
          <t>第7行</t>
        </is>
      </c>
      <c r="B9" s="4" t="inlineStr">
        <is>
          <t>Màu Color  颜色: Màu xanh rêu/ Moss green/苔绿色</t>
        </is>
      </c>
      <c r="C9" s="3" t="inlineStr"/>
      <c r="D9" s="4" t="inlineStr"/>
      <c r="E9" s="5" t="inlineStr">
        <is>
          <t>不要</t>
        </is>
      </c>
      <c r="F9" s="3" t="inlineStr">
        <is>
          <t>—</t>
        </is>
      </c>
      <c r="G9" s="3" t="inlineStr"/>
      <c r="H9" s="6" t="inlineStr"/>
    </row>
    <row r="10" ht="15" customHeight="1">
      <c r="A10" s="3" t="inlineStr">
        <is>
          <t>第8行</t>
        </is>
      </c>
      <c r="B10" s="4" t="inlineStr">
        <is>
          <t>Size trung bình Medium Size  中码数: 8T</t>
        </is>
      </c>
      <c r="C10" s="3" t="inlineStr"/>
      <c r="D10" s="4" t="inlineStr"/>
      <c r="E10" s="5" t="inlineStr">
        <is>
          <t>不要</t>
        </is>
      </c>
      <c r="F10" s="3" t="inlineStr">
        <is>
          <t>—</t>
        </is>
      </c>
      <c r="G10" s="3" t="inlineStr"/>
      <c r="H10" s="6" t="inlineStr"/>
    </row>
    <row r="11" ht="15" customHeight="1">
      <c r="A11" s="3" t="inlineStr">
        <is>
          <t>第9行</t>
        </is>
      </c>
      <c r="B11" s="4" t="inlineStr">
        <is>
          <t xml:space="preserve">Mã số đế Outsole Code : AD-00819               Mã số : 01   </t>
        </is>
      </c>
      <c r="C11" s="3" t="inlineStr"/>
      <c r="D11" s="4" t="inlineStr"/>
      <c r="E11" s="5" t="inlineStr">
        <is>
          <t>不要</t>
        </is>
      </c>
      <c r="F11" s="3" t="inlineStr">
        <is>
          <t>—</t>
        </is>
      </c>
      <c r="G11" s="3" t="inlineStr"/>
      <c r="H11" s="6" t="inlineStr"/>
    </row>
    <row r="12" ht="15" customHeight="1">
      <c r="A12" s="3" t="inlineStr">
        <is>
          <t>第10行</t>
        </is>
      </c>
      <c r="B12" s="4" t="inlineStr">
        <is>
          <t>Bộ phận pha cắt | Bộ phận may | Bộ phận gò | Bộ phận phân xưởng đế</t>
        </is>
      </c>
      <c r="C12" s="3" t="inlineStr"/>
      <c r="D12" s="4" t="inlineStr"/>
      <c r="E12" s="5" t="inlineStr">
        <is>
          <t>不要</t>
        </is>
      </c>
      <c r="F12" s="3" t="inlineStr">
        <is>
          <t>—</t>
        </is>
      </c>
      <c r="G12" s="3" t="inlineStr"/>
      <c r="H12" s="6" t="inlineStr"/>
    </row>
    <row r="13" ht="15" customHeight="1">
      <c r="A13" s="3" t="inlineStr">
        <is>
          <t>第11行</t>
        </is>
      </c>
      <c r="B13" s="4" t="inlineStr">
        <is>
          <t>Cutting Section | Stitching Section | Assembly Section | Stockfitting Section</t>
        </is>
      </c>
      <c r="C13" s="3" t="inlineStr"/>
      <c r="D13" s="4" t="inlineStr"/>
      <c r="E13" s="5" t="inlineStr">
        <is>
          <t>不要</t>
        </is>
      </c>
      <c r="F13" s="3" t="inlineStr">
        <is>
          <t>—</t>
        </is>
      </c>
      <c r="G13" s="3" t="inlineStr"/>
      <c r="H13" s="6" t="inlineStr"/>
    </row>
    <row r="14" ht="15" customHeight="1">
      <c r="A14" s="3" t="inlineStr">
        <is>
          <t>第12行</t>
        </is>
      </c>
      <c r="B14" s="4" t="inlineStr">
        <is>
          <t>裁断部 | 针车部 | 成型 | 大底课</t>
        </is>
      </c>
      <c r="C14" s="3" t="inlineStr"/>
      <c r="D14" s="4" t="inlineStr"/>
      <c r="E14" s="5" t="inlineStr">
        <is>
          <t>不要</t>
        </is>
      </c>
      <c r="F14" s="3" t="inlineStr">
        <is>
          <t>—</t>
        </is>
      </c>
      <c r="G14" s="3" t="inlineStr"/>
      <c r="H14" s="6" t="inlineStr"/>
    </row>
    <row r="15" ht="15" customHeight="1">
      <c r="A15" s="3" t="inlineStr">
        <is>
          <t>第13行</t>
        </is>
      </c>
      <c r="B15" s="4" t="inlineStr">
        <is>
          <t>Mục tiêu 
sản lượng | Số người pha cắt | Hiệu suất 
sản xuất | Mục tiêu 
sản lượ</t>
        </is>
      </c>
      <c r="C15" s="3" t="inlineStr"/>
      <c r="D15" s="4" t="inlineStr"/>
      <c r="E15" s="5" t="inlineStr">
        <is>
          <t>不要</t>
        </is>
      </c>
      <c r="F15" s="3" t="inlineStr">
        <is>
          <t>—</t>
        </is>
      </c>
      <c r="G15" s="3" t="inlineStr"/>
      <c r="H15" s="6" t="inlineStr"/>
    </row>
    <row r="16" ht="15" customHeight="1">
      <c r="A16" s="16" t="inlineStr">
        <is>
          <t>B</t>
        </is>
      </c>
      <c r="B16" s="17" t="inlineStr">
        <is>
          <t>Target Output (Prs/8Hr) / 标准产量
(双/8H)</t>
        </is>
      </c>
      <c r="C16" s="16" t="inlineStr">
        <is>
          <t>120双/H 
(960双
/8H)</t>
        </is>
      </c>
      <c r="D16" s="17" t="inlineStr">
        <is>
          <t xml:space="preserve"> ⚠ 2種變體</t>
        </is>
      </c>
      <c r="E16" s="18" t="inlineStr">
        <is>
          <t>要</t>
        </is>
      </c>
      <c r="F16" s="16" t="inlineStr">
        <is>
          <t>自動帶入</t>
        </is>
      </c>
      <c r="G16" s="19" t="inlineStr">
        <is>
          <t>100%</t>
        </is>
      </c>
      <c r="H16" s="6" t="inlineStr"/>
    </row>
    <row r="17" ht="15" customHeight="1">
      <c r="A17" s="16" t="inlineStr">
        <is>
          <t>C</t>
        </is>
      </c>
      <c r="B17" s="17" t="inlineStr">
        <is>
          <t>No.of Operators / 裁断人员</t>
        </is>
      </c>
      <c r="C17" s="16" t="inlineStr">
        <is>
          <t>Đơn vị 单位</t>
        </is>
      </c>
      <c r="D17" s="17">
        <f>Cutting_TC!J39 ⚠ 25種變體</f>
        <v/>
      </c>
      <c r="E17" s="18" t="inlineStr">
        <is>
          <t>要</t>
        </is>
      </c>
      <c r="F17" s="16" t="inlineStr">
        <is>
          <t>公式(鎖定)</t>
        </is>
      </c>
      <c r="G17" s="19" t="inlineStr">
        <is>
          <t>100%</t>
        </is>
      </c>
      <c r="H17" s="6" t="inlineStr"/>
    </row>
    <row r="18" ht="15" customHeight="1">
      <c r="A18" s="16" t="inlineStr">
        <is>
          <t>D</t>
        </is>
      </c>
      <c r="B18" s="17" t="inlineStr">
        <is>
          <t>PPH
(Prs /person /H) / 生产效率
(双/人/H)</t>
        </is>
      </c>
      <c r="C18" s="16" t="inlineStr">
        <is>
          <t>MP</t>
        </is>
      </c>
      <c r="D18" s="17">
        <f>(960/8)/C16 ⚠ 2種變體</f>
        <v/>
      </c>
      <c r="E18" s="18" t="inlineStr">
        <is>
          <t>要</t>
        </is>
      </c>
      <c r="F18" s="16" t="inlineStr">
        <is>
          <t>公式(鎖定)</t>
        </is>
      </c>
      <c r="G18" s="19" t="inlineStr">
        <is>
          <t>100%</t>
        </is>
      </c>
      <c r="H18" s="6" t="inlineStr"/>
    </row>
    <row r="19" ht="15" customHeight="1">
      <c r="A19" s="16" t="inlineStr">
        <is>
          <t>E</t>
        </is>
      </c>
      <c r="B19" s="17" t="inlineStr">
        <is>
          <t>Target Output (Prs/8Hr) / 标准产量
(双/8H)</t>
        </is>
      </c>
      <c r="C19" s="16" t="inlineStr">
        <is>
          <t>120双/H 
(960双
/8H)</t>
        </is>
      </c>
      <c r="D19" s="17">
        <f>($E$23/D24)*233 ⚠ 2種變體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  <row r="20" ht="15" customHeight="1">
      <c r="A20" s="16" t="inlineStr">
        <is>
          <t>F</t>
        </is>
      </c>
      <c r="B20" s="17" t="inlineStr">
        <is>
          <t>No.of Operators / 针车人员</t>
        </is>
      </c>
      <c r="C20" s="16">
        <f>Stitching!I32</f>
        <v/>
      </c>
      <c r="D20" s="17">
        <f>Stitching!I32 ⚠ 10種變體</f>
        <v/>
      </c>
      <c r="E20" s="18" t="inlineStr">
        <is>
          <t>要</t>
        </is>
      </c>
      <c r="F20" s="16" t="inlineStr">
        <is>
          <t>公式(鎖定)</t>
        </is>
      </c>
      <c r="G20" s="19" t="inlineStr">
        <is>
          <t>100%</t>
        </is>
      </c>
      <c r="H20" s="6" t="inlineStr"/>
    </row>
    <row r="21" ht="15" customHeight="1">
      <c r="A21" s="16" t="inlineStr">
        <is>
          <t>G</t>
        </is>
      </c>
      <c r="B21" s="17" t="inlineStr">
        <is>
          <t>PPH
(Prs /person /H) / 生产效率
(双/人/H)</t>
        </is>
      </c>
      <c r="C21" s="16">
        <f>(960/8)/F16</f>
        <v/>
      </c>
      <c r="D21" s="17">
        <f>(960/8)/F16 ⚠ 2種變體</f>
        <v/>
      </c>
      <c r="E21" s="18" t="inlineStr">
        <is>
          <t>要</t>
        </is>
      </c>
      <c r="F21" s="16" t="inlineStr">
        <is>
          <t>公式(鎖定)</t>
        </is>
      </c>
      <c r="G21" s="19" t="inlineStr">
        <is>
          <t>100%</t>
        </is>
      </c>
      <c r="H21" s="6" t="inlineStr"/>
    </row>
    <row r="22" ht="15" customHeight="1">
      <c r="A22" s="23" t="inlineStr">
        <is>
          <t>H</t>
        </is>
      </c>
      <c r="B22" s="24" t="inlineStr">
        <is>
          <t>Target Output (Prs/8Hr) / 标准产量
(双/8H)</t>
        </is>
      </c>
      <c r="C22" s="23" t="inlineStr">
        <is>
          <t>120双/H 
(960双
/8H)</t>
        </is>
      </c>
      <c r="D22" s="24" t="inlineStr"/>
      <c r="E22" s="25" t="inlineStr">
        <is>
          <t>要</t>
        </is>
      </c>
      <c r="F22" s="23" t="inlineStr">
        <is>
          <t>自動帶入</t>
        </is>
      </c>
      <c r="G22" s="26" t="inlineStr">
        <is>
          <t>100%</t>
        </is>
      </c>
      <c r="H22" s="6" t="inlineStr"/>
    </row>
    <row r="23" ht="15" customHeight="1">
      <c r="A23" s="16" t="inlineStr">
        <is>
          <t>I</t>
        </is>
      </c>
      <c r="B23" s="17" t="inlineStr">
        <is>
          <t>No.of Operators / 成型人员</t>
        </is>
      </c>
      <c r="C23" s="16">
        <f>Assembly.2!I50</f>
        <v/>
      </c>
      <c r="D23" s="17">
        <f>Assembly.2!I50 ⚠ 9種變體</f>
        <v/>
      </c>
      <c r="E23" s="18" t="inlineStr">
        <is>
          <t>要</t>
        </is>
      </c>
      <c r="F23" s="16" t="inlineStr">
        <is>
          <t>公式(鎖定)</t>
        </is>
      </c>
      <c r="G23" s="19" t="inlineStr">
        <is>
          <t>100%</t>
        </is>
      </c>
      <c r="H23" s="6" t="inlineStr"/>
    </row>
    <row r="24" ht="15" customHeight="1">
      <c r="A24" s="16" t="inlineStr">
        <is>
          <t>J</t>
        </is>
      </c>
      <c r="B24" s="17" t="inlineStr">
        <is>
          <t>PPH
(Prs /person /H) / 生产效率
(双/人/H)</t>
        </is>
      </c>
      <c r="C24" s="16" t="inlineStr">
        <is>
          <t xml:space="preserve">TCT
(秒/雙) </t>
        </is>
      </c>
      <c r="D24" s="17">
        <f>(960/8)/I16 ⚠ 3種變體</f>
        <v/>
      </c>
      <c r="E24" s="18" t="inlineStr">
        <is>
          <t>要</t>
        </is>
      </c>
      <c r="F24" s="16" t="inlineStr">
        <is>
          <t>公式(鎖定)</t>
        </is>
      </c>
      <c r="G24" s="19" t="inlineStr">
        <is>
          <t>100%</t>
        </is>
      </c>
      <c r="H24" s="6" t="inlineStr"/>
    </row>
    <row r="25" ht="15" customHeight="1">
      <c r="A25" s="7" t="inlineStr">
        <is>
          <t>K</t>
        </is>
      </c>
      <c r="B25" s="8" t="inlineStr">
        <is>
          <t>Target Output (Prs/8Hr) / 贴本底
标准产量
(双/8H)</t>
        </is>
      </c>
      <c r="C25" s="7" t="inlineStr">
        <is>
          <t>120双/H 
(960双
/8H)</t>
        </is>
      </c>
      <c r="D25" s="8">
        <f>C16+F16+L19</f>
        <v/>
      </c>
      <c r="E25" s="9" t="inlineStr">
        <is>
          <t>要</t>
        </is>
      </c>
      <c r="F25" s="7" t="inlineStr">
        <is>
          <t>公式(鎖定)</t>
        </is>
      </c>
      <c r="G25" s="10" t="inlineStr">
        <is>
          <t>100%</t>
        </is>
      </c>
      <c r="H25" s="6" t="inlineStr"/>
    </row>
    <row r="26" ht="15" customHeight="1">
      <c r="A26" s="16" t="inlineStr">
        <is>
          <t>L</t>
        </is>
      </c>
      <c r="B26" s="17" t="inlineStr">
        <is>
          <t>No.of Operators / 贴底人员</t>
        </is>
      </c>
      <c r="C26" s="16" t="inlineStr">
        <is>
          <t>16</t>
        </is>
      </c>
      <c r="D26" s="17">
        <f>'电脑针车 '!P17 ⚠ 13種變體</f>
        <v/>
      </c>
      <c r="E26" s="18" t="inlineStr">
        <is>
          <t>要</t>
        </is>
      </c>
      <c r="F26" s="16" t="inlineStr">
        <is>
          <t>公式(鎖定)</t>
        </is>
      </c>
      <c r="G26" s="19" t="inlineStr">
        <is>
          <t>100%</t>
        </is>
      </c>
      <c r="H26" s="6" t="inlineStr"/>
    </row>
    <row r="27" ht="15" customHeight="1">
      <c r="A27" s="16" t="inlineStr">
        <is>
          <t>M</t>
        </is>
      </c>
      <c r="B27" s="17" t="inlineStr">
        <is>
          <t>PPH
(Prs /person /H) / 生产效率
(双/人/H)</t>
        </is>
      </c>
      <c r="C27" s="16" t="inlineStr">
        <is>
          <t>404</t>
        </is>
      </c>
      <c r="D27" s="17">
        <f>(960/8)/L16 ⚠ 2種變體</f>
        <v/>
      </c>
      <c r="E27" s="18" t="inlineStr">
        <is>
          <t>要</t>
        </is>
      </c>
      <c r="F27" s="16" t="inlineStr">
        <is>
          <t>公式(鎖定)</t>
        </is>
      </c>
      <c r="G27" s="19" t="inlineStr">
        <is>
          <t>100%</t>
        </is>
      </c>
      <c r="H27" s="6" t="inlineStr"/>
    </row>
    <row r="28" ht="15" customHeight="1">
      <c r="A28" s="16" t="inlineStr">
        <is>
          <t>N</t>
        </is>
      </c>
      <c r="B28" s="17" t="inlineStr">
        <is>
          <t>Total PPH / 总体效率  (双/H/人)</t>
        </is>
      </c>
      <c r="C28" s="16" t="inlineStr">
        <is>
          <t>Ghi chú 
 備注</t>
        </is>
      </c>
      <c r="D28" s="17">
        <f>3600/((3600/D16)+(3600/G16)+(3600/J16)+(3600/M16)) ⚠ 2種變體</f>
        <v/>
      </c>
      <c r="E28" s="18" t="inlineStr">
        <is>
          <t>要</t>
        </is>
      </c>
      <c r="F28" s="16" t="inlineStr">
        <is>
          <t>公式(鎖定)</t>
        </is>
      </c>
      <c r="G28" s="19" t="inlineStr">
        <is>
          <t>100%</t>
        </is>
      </c>
      <c r="H28" s="6" t="inlineStr"/>
    </row>
    <row r="29" ht="15" customHeight="1">
      <c r="A29" s="16" t="inlineStr">
        <is>
          <t>P</t>
        </is>
      </c>
      <c r="B29" s="17" t="inlineStr">
        <is>
          <t>(無標題 P)</t>
        </is>
      </c>
      <c r="C29" s="16">
        <f>10/180*60</f>
        <v/>
      </c>
      <c r="D29" s="17">
        <f>10/180*60 ⚠ 4種變體</f>
        <v/>
      </c>
      <c r="E29" s="18" t="inlineStr">
        <is>
          <t>要</t>
        </is>
      </c>
      <c r="F29" s="16" t="inlineStr">
        <is>
          <t>公式(鎖定)</t>
        </is>
      </c>
      <c r="G29" s="22" t="inlineStr">
        <is>
          <t>11%</t>
        </is>
      </c>
      <c r="H29" s="6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Stock/Lót  |  樣本: header_id=7 sheet="SUM_Stock"  |  總檔數: 150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TÓM TẮT QUÁ TRÌNH  SẢN XUẤT   生产流程分析表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SUMMARY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第4行</t>
        </is>
      </c>
      <c r="B5" s="4" t="inlineStr">
        <is>
          <t>Tên hình thể sản xuất  Product Brand Name 鞋型名称 : SL 72 RS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第5行</t>
        </is>
      </c>
      <c r="B6" s="4" t="inlineStr">
        <is>
          <t>Mã số  Article  : IG2132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第6行</t>
        </is>
      </c>
      <c r="B7" s="4" t="inlineStr">
        <is>
          <t>Loại nguyên liệu  Material 材料类 : Cao su+IMEVA/rubber o/s+IME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第7行</t>
        </is>
      </c>
      <c r="B8" s="4" t="inlineStr">
        <is>
          <t>Mùa sản xuất  Season  生产季度: SS25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3" t="inlineStr">
        <is>
          <t>第8行</t>
        </is>
      </c>
      <c r="B9" s="4" t="inlineStr">
        <is>
          <t>Mã loại Category  : Originals</t>
        </is>
      </c>
      <c r="C9" s="3" t="inlineStr"/>
      <c r="D9" s="4" t="inlineStr"/>
      <c r="E9" s="5" t="inlineStr">
        <is>
          <t>不要</t>
        </is>
      </c>
      <c r="F9" s="3" t="inlineStr">
        <is>
          <t>—</t>
        </is>
      </c>
      <c r="G9" s="3" t="inlineStr"/>
      <c r="H9" s="6" t="inlineStr"/>
    </row>
    <row r="10" ht="15" customHeight="1">
      <c r="A10" s="3" t="inlineStr">
        <is>
          <t>第9行</t>
        </is>
      </c>
      <c r="B10" s="4" t="inlineStr">
        <is>
          <t>Màu Color  颜色: Màu xanh ,đỏ ,vàng</t>
        </is>
      </c>
      <c r="C10" s="3" t="inlineStr"/>
      <c r="D10" s="4" t="inlineStr"/>
      <c r="E10" s="5" t="inlineStr">
        <is>
          <t>不要</t>
        </is>
      </c>
      <c r="F10" s="3" t="inlineStr">
        <is>
          <t>—</t>
        </is>
      </c>
      <c r="G10" s="3" t="inlineStr"/>
      <c r="H10" s="6" t="inlineStr"/>
    </row>
    <row r="11" ht="15" customHeight="1">
      <c r="A11" s="3" t="inlineStr">
        <is>
          <t>第10行</t>
        </is>
      </c>
      <c r="B11" s="4" t="inlineStr">
        <is>
          <t>Size trung bình  Medium Size  中码数: 8T</t>
        </is>
      </c>
      <c r="C11" s="3" t="inlineStr"/>
      <c r="D11" s="4" t="inlineStr"/>
      <c r="E11" s="5" t="inlineStr">
        <is>
          <t>不要</t>
        </is>
      </c>
      <c r="F11" s="3" t="inlineStr">
        <is>
          <t>—</t>
        </is>
      </c>
      <c r="G11" s="3" t="inlineStr"/>
      <c r="H11" s="6" t="inlineStr"/>
    </row>
    <row r="12" ht="15" customHeight="1">
      <c r="A12" s="3" t="inlineStr">
        <is>
          <t>第11行</t>
        </is>
      </c>
      <c r="B12" s="4" t="inlineStr">
        <is>
          <t xml:space="preserve">Mã số đế Outsole Code :   AD-65744            Mã số :  01   </t>
        </is>
      </c>
      <c r="C12" s="3" t="inlineStr"/>
      <c r="D12" s="4" t="inlineStr"/>
      <c r="E12" s="5" t="inlineStr">
        <is>
          <t>不要</t>
        </is>
      </c>
      <c r="F12" s="3" t="inlineStr">
        <is>
          <t>—</t>
        </is>
      </c>
      <c r="G12" s="3" t="inlineStr"/>
      <c r="H12" s="6" t="inlineStr"/>
    </row>
    <row r="13" ht="15" customHeight="1">
      <c r="A13" s="3" t="inlineStr">
        <is>
          <t>第12行</t>
        </is>
      </c>
      <c r="B13" s="4" t="inlineStr">
        <is>
          <t>Bộ phận mài thô | Bộ phận rửa đế | Bộ phận UV chiếu xạ | Bộ phận Dán đế</t>
        </is>
      </c>
      <c r="C13" s="3" t="inlineStr"/>
      <c r="D13" s="4" t="inlineStr"/>
      <c r="E13" s="5" t="inlineStr">
        <is>
          <t>不要</t>
        </is>
      </c>
      <c r="F13" s="3" t="inlineStr">
        <is>
          <t>—</t>
        </is>
      </c>
      <c r="G13" s="3" t="inlineStr"/>
      <c r="H13" s="6" t="inlineStr"/>
    </row>
    <row r="14" ht="15" customHeight="1">
      <c r="A14" s="3" t="inlineStr">
        <is>
          <t>第13行</t>
        </is>
      </c>
      <c r="B14" s="4" t="inlineStr">
        <is>
          <t>Buffing Section | O/S Washing Section | UV Treat ment Section | O/S Attaching Se</t>
        </is>
      </c>
      <c r="C14" s="3" t="inlineStr"/>
      <c r="D14" s="4" t="inlineStr"/>
      <c r="E14" s="5" t="inlineStr">
        <is>
          <t>不要</t>
        </is>
      </c>
      <c r="F14" s="3" t="inlineStr">
        <is>
          <t>—</t>
        </is>
      </c>
      <c r="G14" s="3" t="inlineStr"/>
      <c r="H14" s="6" t="inlineStr"/>
    </row>
    <row r="15" ht="15" customHeight="1">
      <c r="A15" s="3" t="inlineStr">
        <is>
          <t>第14行</t>
        </is>
      </c>
      <c r="B15" s="4" t="inlineStr">
        <is>
          <t>打粗组 | 水洗 | UV 照射 | 贴大底</t>
        </is>
      </c>
      <c r="C15" s="3" t="inlineStr"/>
      <c r="D15" s="4" t="inlineStr"/>
      <c r="E15" s="5" t="inlineStr">
        <is>
          <t>不要</t>
        </is>
      </c>
      <c r="F15" s="3" t="inlineStr">
        <is>
          <t>—</t>
        </is>
      </c>
      <c r="G15" s="3" t="inlineStr"/>
      <c r="H15" s="6" t="inlineStr"/>
    </row>
    <row r="16" ht="15" customHeight="1">
      <c r="A16" s="3" t="inlineStr">
        <is>
          <t>第15行</t>
        </is>
      </c>
      <c r="B16" s="4" t="inlineStr">
        <is>
          <t>Mục tiêu sản lượng | Số người mài thô | Hiệu suất sản xuất | Mục tiêu sản lượng</t>
        </is>
      </c>
      <c r="C16" s="3" t="inlineStr"/>
      <c r="D16" s="4" t="inlineStr"/>
      <c r="E16" s="5" t="inlineStr">
        <is>
          <t>不要</t>
        </is>
      </c>
      <c r="F16" s="3" t="inlineStr">
        <is>
          <t>—</t>
        </is>
      </c>
      <c r="G16" s="3" t="inlineStr"/>
      <c r="H16" s="6" t="inlineStr"/>
    </row>
    <row r="17" ht="15" customHeight="1">
      <c r="A17" s="23" t="inlineStr">
        <is>
          <t>B</t>
        </is>
      </c>
      <c r="B17" s="24" t="inlineStr">
        <is>
          <t>Target Output (Prs/8Hr) / 标准产量 (双/8H)</t>
        </is>
      </c>
      <c r="C17" s="23" t="inlineStr">
        <is>
          <t>220双/H 
(1760双
/8H)</t>
        </is>
      </c>
      <c r="D17" s="24" t="inlineStr"/>
      <c r="E17" s="25" t="inlineStr">
        <is>
          <t>要</t>
        </is>
      </c>
      <c r="F17" s="23" t="inlineStr">
        <is>
          <t>自動帶入</t>
        </is>
      </c>
      <c r="G17" s="26" t="inlineStr">
        <is>
          <t>100%</t>
        </is>
      </c>
      <c r="H17" s="6" t="inlineStr"/>
    </row>
    <row r="18" ht="15" customHeight="1">
      <c r="A18" s="16" t="inlineStr">
        <is>
          <t>C</t>
        </is>
      </c>
      <c r="B18" s="17" t="inlineStr">
        <is>
          <t>No.of Operators / 打粗人员</t>
        </is>
      </c>
      <c r="C18" s="16" t="inlineStr">
        <is>
          <t xml:space="preserve">Labor count : 37.0 Operators   </t>
        </is>
      </c>
      <c r="D18" s="17">
        <f>' 打粗'!I20 ⚠ 6種變體</f>
        <v/>
      </c>
      <c r="E18" s="18" t="inlineStr">
        <is>
          <t>要</t>
        </is>
      </c>
      <c r="F18" s="16" t="inlineStr">
        <is>
          <t>公式(鎖定)</t>
        </is>
      </c>
      <c r="G18" s="19" t="inlineStr">
        <is>
          <t>100%</t>
        </is>
      </c>
      <c r="H18" s="6" t="inlineStr"/>
    </row>
    <row r="19" ht="15" customHeight="1">
      <c r="A19" s="16" t="inlineStr">
        <is>
          <t>D</t>
        </is>
      </c>
      <c r="B19" s="17" t="inlineStr">
        <is>
          <t>PPH
(Prs /person /H) / 生产效率
(双/人/H)</t>
        </is>
      </c>
      <c r="C19" s="16" t="inlineStr">
        <is>
          <t>MP</t>
        </is>
      </c>
      <c r="D19" s="17">
        <f>(1760/8)/C18 ⚠ 6種變體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  <row r="20" ht="15" customHeight="1">
      <c r="A20" s="7" t="inlineStr">
        <is>
          <t>E</t>
        </is>
      </c>
      <c r="B20" s="8" t="inlineStr">
        <is>
          <t>Target Output (Prs/8Hr) / 标准产量
(双/8H)</t>
        </is>
      </c>
      <c r="C20" s="7" t="inlineStr">
        <is>
          <t>220双/H 
(1760双
/8H)</t>
        </is>
      </c>
      <c r="D20" s="8">
        <f>(E23/$D$24)*233</f>
        <v/>
      </c>
      <c r="E20" s="9" t="inlineStr">
        <is>
          <t>要</t>
        </is>
      </c>
      <c r="F20" s="7" t="inlineStr">
        <is>
          <t>公式(鎖定)</t>
        </is>
      </c>
      <c r="G20" s="10" t="inlineStr">
        <is>
          <t>100%</t>
        </is>
      </c>
      <c r="H20" s="6" t="inlineStr"/>
    </row>
    <row r="21" ht="15" customHeight="1">
      <c r="A21" s="16" t="inlineStr">
        <is>
          <t>F</t>
        </is>
      </c>
      <c r="B21" s="17" t="inlineStr">
        <is>
          <t>No.of Operators / 洗底人员</t>
        </is>
      </c>
      <c r="C21" s="16">
        <f>水洗!I21</f>
        <v/>
      </c>
      <c r="D21" s="17">
        <f>水洗!I21 ⚠ 4種變體</f>
        <v/>
      </c>
      <c r="E21" s="18" t="inlineStr">
        <is>
          <t>要</t>
        </is>
      </c>
      <c r="F21" s="16" t="inlineStr">
        <is>
          <t>公式(鎖定)</t>
        </is>
      </c>
      <c r="G21" s="19" t="inlineStr">
        <is>
          <t>97%</t>
        </is>
      </c>
      <c r="H21" s="6" t="inlineStr"/>
    </row>
    <row r="22" ht="15" customHeight="1">
      <c r="A22" s="16" t="inlineStr">
        <is>
          <t>G</t>
        </is>
      </c>
      <c r="B22" s="17" t="inlineStr">
        <is>
          <t>PPH
(Prs /person /H) / 生产效率
(双/人/H)</t>
        </is>
      </c>
      <c r="C22" s="16">
        <f>(1760/8)/F18</f>
        <v/>
      </c>
      <c r="D22" s="17">
        <f>(1760/8)/F18 ⚠ 6種變體</f>
        <v/>
      </c>
      <c r="E22" s="18" t="inlineStr">
        <is>
          <t>要</t>
        </is>
      </c>
      <c r="F22" s="16" t="inlineStr">
        <is>
          <t>公式(鎖定)</t>
        </is>
      </c>
      <c r="G22" s="19" t="inlineStr">
        <is>
          <t>100%</t>
        </is>
      </c>
      <c r="H22" s="6" t="inlineStr"/>
    </row>
    <row r="23" ht="15" customHeight="1">
      <c r="A23" s="23" t="inlineStr">
        <is>
          <t>H</t>
        </is>
      </c>
      <c r="B23" s="24" t="inlineStr">
        <is>
          <t>Target Output (Prs/8Hr) / 标准产量 (双/8H)</t>
        </is>
      </c>
      <c r="C23" s="23" t="inlineStr">
        <is>
          <t>220双/H 
(1760双
/8H)</t>
        </is>
      </c>
      <c r="D23" s="24" t="inlineStr"/>
      <c r="E23" s="25" t="inlineStr">
        <is>
          <t>要</t>
        </is>
      </c>
      <c r="F23" s="23" t="inlineStr">
        <is>
          <t>自動帶入</t>
        </is>
      </c>
      <c r="G23" s="26" t="inlineStr">
        <is>
          <t>100%</t>
        </is>
      </c>
      <c r="H23" s="6" t="inlineStr"/>
    </row>
    <row r="24" ht="15" customHeight="1">
      <c r="A24" s="16" t="inlineStr">
        <is>
          <t>I</t>
        </is>
      </c>
      <c r="B24" s="17" t="inlineStr">
        <is>
          <t>No.of Operators / UV 照射人员</t>
        </is>
      </c>
      <c r="C24" s="16">
        <f>'组底面照射 '!I24+成型面照射!I26</f>
        <v/>
      </c>
      <c r="D24" s="17">
        <f>'组底面照射 '!I24+成型面照射!I26 ⚠ 7種變體</f>
        <v/>
      </c>
      <c r="E24" s="18" t="inlineStr">
        <is>
          <t>要</t>
        </is>
      </c>
      <c r="F24" s="16" t="inlineStr">
        <is>
          <t>公式(鎖定)</t>
        </is>
      </c>
      <c r="G24" s="19" t="inlineStr">
        <is>
          <t>93%</t>
        </is>
      </c>
      <c r="H24" s="6" t="inlineStr"/>
    </row>
    <row r="25" ht="15" customHeight="1">
      <c r="A25" s="16" t="inlineStr">
        <is>
          <t>J</t>
        </is>
      </c>
      <c r="B25" s="17" t="inlineStr">
        <is>
          <t>PPH
(Prs /person /H) / 生产效率
(双/人/H)</t>
        </is>
      </c>
      <c r="C25" s="16" t="inlineStr">
        <is>
          <t xml:space="preserve">Stockfitting MP : 40 Operators   </t>
        </is>
      </c>
      <c r="D25" s="17">
        <f>(1760/8)/I18 ⚠ 7種變體</f>
        <v/>
      </c>
      <c r="E25" s="18" t="inlineStr">
        <is>
          <t>要</t>
        </is>
      </c>
      <c r="F25" s="16" t="inlineStr">
        <is>
          <t>公式(鎖定)</t>
        </is>
      </c>
      <c r="G25" s="19" t="inlineStr">
        <is>
          <t>100%</t>
        </is>
      </c>
      <c r="H25" s="6" t="inlineStr"/>
    </row>
    <row r="26" ht="15" customHeight="1">
      <c r="A26" s="7" t="inlineStr">
        <is>
          <t>K</t>
        </is>
      </c>
      <c r="B26" s="8" t="inlineStr">
        <is>
          <t>Target Output (Prs/8Hr) / 贴本底标准产量      (双/8H)</t>
        </is>
      </c>
      <c r="C26" s="7" t="inlineStr">
        <is>
          <t>220双/H 
(1760双
/8H)</t>
        </is>
      </c>
      <c r="D26" s="8">
        <f>C18+F18+I18+L18</f>
        <v/>
      </c>
      <c r="E26" s="9" t="inlineStr">
        <is>
          <t>要</t>
        </is>
      </c>
      <c r="F26" s="7" t="inlineStr">
        <is>
          <t>公式(鎖定)</t>
        </is>
      </c>
      <c r="G26" s="10" t="inlineStr">
        <is>
          <t>100%</t>
        </is>
      </c>
      <c r="H26" s="6" t="inlineStr"/>
    </row>
    <row r="27" ht="15" customHeight="1">
      <c r="A27" s="16" t="inlineStr">
        <is>
          <t>L</t>
        </is>
      </c>
      <c r="B27" s="17" t="inlineStr">
        <is>
          <t>No.of Operators / 贴底人员</t>
        </is>
      </c>
      <c r="C27" s="16" t="inlineStr">
        <is>
          <t>PPH</t>
        </is>
      </c>
      <c r="D27" s="17">
        <f>贴大底!I51 ⚠ 11種變體</f>
        <v/>
      </c>
      <c r="E27" s="18" t="inlineStr">
        <is>
          <t>要</t>
        </is>
      </c>
      <c r="F27" s="16" t="inlineStr">
        <is>
          <t>公式(鎖定)</t>
        </is>
      </c>
      <c r="G27" s="19" t="inlineStr">
        <is>
          <t>100%</t>
        </is>
      </c>
      <c r="H27" s="6" t="inlineStr"/>
    </row>
    <row r="28" ht="15" customHeight="1">
      <c r="A28" s="16" t="inlineStr">
        <is>
          <t>M</t>
        </is>
      </c>
      <c r="B28" s="17" t="inlineStr">
        <is>
          <t>PPH
(Prs /person /H) / 生产效率
(双/人/H)</t>
        </is>
      </c>
      <c r="C28" s="16" t="inlineStr">
        <is>
          <t>Diff .
(E-PPH &amp; IE-PPH)</t>
        </is>
      </c>
      <c r="D28" s="17">
        <f>(1760/8)/L18 ⚠ 7種變體</f>
        <v/>
      </c>
      <c r="E28" s="18" t="inlineStr">
        <is>
          <t>要</t>
        </is>
      </c>
      <c r="F28" s="16" t="inlineStr">
        <is>
          <t>公式(鎖定)</t>
        </is>
      </c>
      <c r="G28" s="19" t="inlineStr">
        <is>
          <t>100%</t>
        </is>
      </c>
      <c r="H28" s="6" t="inlineStr"/>
    </row>
    <row r="29" ht="15" customHeight="1">
      <c r="A29" s="16" t="inlineStr">
        <is>
          <t>N</t>
        </is>
      </c>
      <c r="B29" s="17" t="inlineStr">
        <is>
          <t>Total PPH / 总体效率  (双/H/人)</t>
        </is>
      </c>
      <c r="C29" s="16">
        <f>3600/((3600/D18)+(3600/G18)+(3600/J18)+(3600/M18)</f>
        <v/>
      </c>
      <c r="D29" s="17">
        <f>3600/((3600/D18)+(3600/G18)+(3600/J18)+(3600/M18)) ⚠ 4種變體</f>
        <v/>
      </c>
      <c r="E29" s="18" t="inlineStr">
        <is>
          <t>要</t>
        </is>
      </c>
      <c r="F29" s="16" t="inlineStr">
        <is>
          <t>公式(鎖定)</t>
        </is>
      </c>
      <c r="G29" s="19" t="inlineStr">
        <is>
          <t>100%</t>
        </is>
      </c>
      <c r="H29" s="6" t="inlineStr"/>
    </row>
    <row r="30" ht="15" customHeight="1">
      <c r="A30" s="16" t="inlineStr">
        <is>
          <t>O</t>
        </is>
      </c>
      <c r="B30" s="17" t="inlineStr">
        <is>
          <t>Remarks / 备注</t>
        </is>
      </c>
      <c r="C30" s="16">
        <f>M19+J19+G19+D19</f>
        <v/>
      </c>
      <c r="D30" s="17">
        <f>M19+J19+G19+D19 ⚠ 8種變體</f>
        <v/>
      </c>
      <c r="E30" s="18" t="inlineStr">
        <is>
          <t>要</t>
        </is>
      </c>
      <c r="F30" s="16" t="inlineStr">
        <is>
          <t>公式(鎖定)</t>
        </is>
      </c>
      <c r="G30" s="19" t="inlineStr">
        <is>
          <t>99%</t>
        </is>
      </c>
      <c r="H30" s="6" t="inlineStr"/>
    </row>
    <row r="31" ht="15" customHeight="1">
      <c r="A31" s="16" t="inlineStr">
        <is>
          <t>P</t>
        </is>
      </c>
      <c r="B31" s="17" t="inlineStr">
        <is>
          <t>(無標題 P)</t>
        </is>
      </c>
      <c r="C31" s="16" t="inlineStr">
        <is>
          <t>第一次</t>
        </is>
      </c>
      <c r="D31" s="17" t="inlineStr">
        <is>
          <t xml:space="preserve"> ⚠ 3種變體</t>
        </is>
      </c>
      <c r="E31" s="18" t="inlineStr">
        <is>
          <t>要</t>
        </is>
      </c>
      <c r="F31" s="16" t="inlineStr">
        <is>
          <t>人工輸入</t>
        </is>
      </c>
      <c r="G31" s="22" t="inlineStr">
        <is>
          <t>7%</t>
        </is>
      </c>
      <c r="H31" s="6" t="inlineStr"/>
    </row>
    <row r="32" ht="15" customHeight="1">
      <c r="A32" s="16" t="inlineStr">
        <is>
          <t>Q</t>
        </is>
      </c>
      <c r="B32" s="17" t="inlineStr">
        <is>
          <t>(無標題 Q)</t>
        </is>
      </c>
      <c r="C32" s="16">
        <f>P19-O19</f>
        <v/>
      </c>
      <c r="D32" s="17">
        <f>P19-O19 ⚠ 2種變體</f>
        <v/>
      </c>
      <c r="E32" s="18" t="inlineStr">
        <is>
          <t>要</t>
        </is>
      </c>
      <c r="F32" s="16" t="inlineStr">
        <is>
          <t>公式(鎖定)</t>
        </is>
      </c>
      <c r="G32" s="22" t="inlineStr">
        <is>
          <t>2%</t>
        </is>
      </c>
      <c r="H32" s="6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9A9A9"/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打粗  |  樣本: header_id=7 sheet=" 打粗"  |  總檔數: 150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TÓM TẮT QUÁ TRÌNH  SẢN XUẤT   生产流程分析表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SUMMARY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第4行</t>
        </is>
      </c>
      <c r="B5" s="4" t="inlineStr">
        <is>
          <t>Mã số văn kiện : Document No. 文件編號: I/ WQX/A-1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第5行</t>
        </is>
      </c>
      <c r="B6" s="4" t="inlineStr">
        <is>
          <t>Tên hình thể giày: SL 72 RS  Mục tiêu sản lượng: 1760 đôi/ 8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第6行</t>
        </is>
      </c>
      <c r="B7" s="4" t="inlineStr">
        <is>
          <t>Model Name : SL 72 RS Target Output : 1760 Prs / 8H (220 Prs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第7行</t>
        </is>
      </c>
      <c r="B8" s="4" t="inlineStr">
        <is>
          <t>鞋型名称: SL 72 RS 目標產能 : 1760 双/8H (220双/H).  TT：16.4秒/双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3" t="inlineStr">
        <is>
          <t>第8行</t>
        </is>
      </c>
      <c r="B9" s="4" t="inlineStr">
        <is>
          <t>流程名稱 :  Mài thô / 打粗                     Mã số đế  Outsole C</t>
        </is>
      </c>
      <c r="C9" s="3" t="inlineStr"/>
      <c r="D9" s="4" t="inlineStr"/>
      <c r="E9" s="5" t="inlineStr">
        <is>
          <t>不要</t>
        </is>
      </c>
      <c r="F9" s="3" t="inlineStr">
        <is>
          <t>—</t>
        </is>
      </c>
      <c r="G9" s="3" t="inlineStr"/>
      <c r="H9" s="6" t="inlineStr"/>
    </row>
    <row r="10" ht="15" customHeight="1">
      <c r="A10" s="7" t="inlineStr">
        <is>
          <t>B</t>
        </is>
      </c>
      <c r="B10" s="8" t="inlineStr">
        <is>
          <t>STT / Seq.No / 序號</t>
        </is>
      </c>
      <c r="C10" s="7" t="inlineStr">
        <is>
          <t>1</t>
        </is>
      </c>
      <c r="D10" s="8">
        <f>SUM_Stock!B31:D31</f>
        <v/>
      </c>
      <c r="E10" s="9" t="inlineStr">
        <is>
          <t>要</t>
        </is>
      </c>
      <c r="F10" s="7" t="inlineStr">
        <is>
          <t>公式(鎖定)</t>
        </is>
      </c>
      <c r="G10" s="10" t="inlineStr">
        <is>
          <t>100%</t>
        </is>
      </c>
      <c r="H10" s="6" t="inlineStr"/>
    </row>
    <row r="11" ht="15" customHeight="1">
      <c r="A11" s="11" t="inlineStr">
        <is>
          <t>C</t>
        </is>
      </c>
      <c r="B11" s="12" t="inlineStr">
        <is>
          <t>Tên thao tác / Operations Name / 流程名稱:</t>
        </is>
      </c>
      <c r="C11" s="11" t="inlineStr">
        <is>
          <t>Mài thô RB đế</t>
        </is>
      </c>
      <c r="D11" s="12" t="inlineStr"/>
      <c r="E11" s="13" t="inlineStr">
        <is>
          <t>要</t>
        </is>
      </c>
      <c r="F11" s="11" t="inlineStr">
        <is>
          <t>人工輸入</t>
        </is>
      </c>
      <c r="G11" s="14" t="inlineStr">
        <is>
          <t>100%</t>
        </is>
      </c>
      <c r="H11" s="6" t="inlineStr"/>
    </row>
    <row r="12" ht="15" customHeight="1">
      <c r="A12" s="16" t="inlineStr">
        <is>
          <t>D</t>
        </is>
      </c>
      <c r="B12" s="17" t="inlineStr">
        <is>
          <t>Thời gian 
thực chất / Cycle time
(Secs/
Pr) / 正常時間 (秒/雙)</t>
        </is>
      </c>
      <c r="C12" s="16" t="inlineStr">
        <is>
          <t>15</t>
        </is>
      </c>
      <c r="D12" s="17">
        <f>SUM(D12:D19) ⚠ 3種變體</f>
        <v/>
      </c>
      <c r="E12" s="18" t="inlineStr">
        <is>
          <t>要</t>
        </is>
      </c>
      <c r="F12" s="16" t="inlineStr">
        <is>
          <t>公式(鎖定)</t>
        </is>
      </c>
      <c r="G12" s="19" t="inlineStr">
        <is>
          <t>100%</t>
        </is>
      </c>
      <c r="H12" s="6" t="inlineStr"/>
    </row>
    <row r="13" ht="15" customHeight="1">
      <c r="A13" s="11" t="inlineStr">
        <is>
          <t>E</t>
        </is>
      </c>
      <c r="B13" s="12" t="inlineStr">
        <is>
          <t>Trừ hao
10% / Allowance (10%) / 寬放率%</t>
        </is>
      </c>
      <c r="C13" s="11" t="inlineStr">
        <is>
          <t>10</t>
        </is>
      </c>
      <c r="D13" s="12" t="inlineStr"/>
      <c r="E13" s="13" t="inlineStr">
        <is>
          <t>要</t>
        </is>
      </c>
      <c r="F13" s="11" t="inlineStr">
        <is>
          <t>人工輸入</t>
        </is>
      </c>
      <c r="G13" s="14" t="inlineStr">
        <is>
          <t>100%</t>
        </is>
      </c>
      <c r="H13" s="6" t="inlineStr"/>
    </row>
    <row r="14" ht="15" customHeight="1">
      <c r="A14" s="7" t="inlineStr">
        <is>
          <t>F</t>
        </is>
      </c>
      <c r="B14" s="8" t="inlineStr">
        <is>
          <t>Tiêu chuẩn thời gian
giây/đôi / Standard time
 (Secs/
Pr)</t>
        </is>
      </c>
      <c r="C14" s="7">
        <f>D12*1.1</f>
        <v/>
      </c>
      <c r="D14" s="8">
        <f>D12*1.1</f>
        <v/>
      </c>
      <c r="E14" s="9" t="inlineStr">
        <is>
          <t>要</t>
        </is>
      </c>
      <c r="F14" s="7" t="inlineStr">
        <is>
          <t>公式(鎖定)</t>
        </is>
      </c>
      <c r="G14" s="10" t="inlineStr">
        <is>
          <t>100%</t>
        </is>
      </c>
      <c r="H14" s="6" t="inlineStr"/>
    </row>
    <row r="15" ht="15" customHeight="1">
      <c r="A15" s="7" t="inlineStr">
        <is>
          <t>G</t>
        </is>
      </c>
      <c r="B15" s="8" t="inlineStr">
        <is>
          <t>Mục tiêu sản xuất
(đôi/H) / Target output 
(Pair/ Hou</t>
        </is>
      </c>
      <c r="C15" s="7">
        <f>3600/F12</f>
        <v/>
      </c>
      <c r="D15" s="8">
        <f>3600/F12</f>
        <v/>
      </c>
      <c r="E15" s="9" t="inlineStr">
        <is>
          <t>要</t>
        </is>
      </c>
      <c r="F15" s="7" t="inlineStr">
        <is>
          <t>公式(鎖定)</t>
        </is>
      </c>
      <c r="G15" s="10" t="inlineStr">
        <is>
          <t>100%</t>
        </is>
      </c>
      <c r="H15" s="6" t="inlineStr"/>
    </row>
    <row r="16" ht="15" customHeight="1">
      <c r="A16" s="16" t="inlineStr">
        <is>
          <t>H</t>
        </is>
      </c>
      <c r="B16" s="17" t="inlineStr">
        <is>
          <t>Số người lý luận / Operators in theory / 理論人數</t>
        </is>
      </c>
      <c r="C16" s="16">
        <f>F12/$M$10</f>
        <v/>
      </c>
      <c r="D16" s="17">
        <f>F12/$M$10 ⚠ 4種變體</f>
        <v/>
      </c>
      <c r="E16" s="18" t="inlineStr">
        <is>
          <t>要</t>
        </is>
      </c>
      <c r="F16" s="16" t="inlineStr">
        <is>
          <t>公式(鎖定)</t>
        </is>
      </c>
      <c r="G16" s="19" t="inlineStr">
        <is>
          <t>100%</t>
        </is>
      </c>
      <c r="H16" s="6" t="inlineStr"/>
    </row>
    <row r="17" ht="15" customHeight="1">
      <c r="A17" s="16" t="inlineStr">
        <is>
          <t>I</t>
        </is>
      </c>
      <c r="B17" s="17" t="inlineStr">
        <is>
          <t>Số người 
thực tế
IE sắp đặt / No.of Operators / 實際人數</t>
        </is>
      </c>
      <c r="C17" s="16" t="inlineStr">
        <is>
          <t>6</t>
        </is>
      </c>
      <c r="D17" s="17">
        <f>SUM(I12:I19) ⚠ 2種變體</f>
        <v/>
      </c>
      <c r="E17" s="18" t="inlineStr">
        <is>
          <t>要</t>
        </is>
      </c>
      <c r="F17" s="16" t="inlineStr">
        <is>
          <t>公式(鎖定)</t>
        </is>
      </c>
      <c r="G17" s="19" t="inlineStr">
        <is>
          <t>100%</t>
        </is>
      </c>
      <c r="H17" s="6" t="inlineStr"/>
    </row>
    <row r="18" ht="15" customHeight="1">
      <c r="A18" s="11" t="inlineStr">
        <is>
          <t>J</t>
        </is>
      </c>
      <c r="B18" s="12" t="inlineStr">
        <is>
          <t>Những công cụ sử dụng
Machines 
所用工具 / Những công cụ sử dụng</t>
        </is>
      </c>
      <c r="C18" s="11" t="inlineStr">
        <is>
          <t>Auto Buffing</t>
        </is>
      </c>
      <c r="D18" s="12" t="inlineStr"/>
      <c r="E18" s="13" t="inlineStr">
        <is>
          <t>要</t>
        </is>
      </c>
      <c r="F18" s="11" t="inlineStr">
        <is>
          <t>人工輸入</t>
        </is>
      </c>
      <c r="G18" s="14" t="inlineStr">
        <is>
          <t>100%</t>
        </is>
      </c>
      <c r="H18" s="6" t="inlineStr"/>
    </row>
    <row r="19" ht="15" customHeight="1">
      <c r="A19" s="11" t="inlineStr">
        <is>
          <t>K</t>
        </is>
      </c>
      <c r="B19" s="12" t="inlineStr">
        <is>
          <t>Số lượng máy
 Quantity of machine 
机器數量</t>
        </is>
      </c>
      <c r="C19" s="11" t="inlineStr">
        <is>
          <t>1</t>
        </is>
      </c>
      <c r="D19" s="12" t="inlineStr"/>
      <c r="E19" s="13" t="inlineStr">
        <is>
          <t>要</t>
        </is>
      </c>
      <c r="F19" s="11" t="inlineStr">
        <is>
          <t>人工輸入</t>
        </is>
      </c>
      <c r="G19" s="14" t="inlineStr">
        <is>
          <t>100%</t>
        </is>
      </c>
      <c r="H19" s="6" t="inlineStr"/>
    </row>
    <row r="20" ht="15" customHeight="1">
      <c r="A20" s="11" t="inlineStr">
        <is>
          <t>L</t>
        </is>
      </c>
      <c r="B20" s="12" t="inlineStr">
        <is>
          <t>Ghi chú / Remarks / 備注</t>
        </is>
      </c>
      <c r="C20" s="11" t="inlineStr">
        <is>
          <t>có khuôn</t>
        </is>
      </c>
      <c r="D20" s="12" t="inlineStr"/>
      <c r="E20" s="13" t="inlineStr">
        <is>
          <t>要</t>
        </is>
      </c>
      <c r="F20" s="11" t="inlineStr">
        <is>
          <t>人工輸入</t>
        </is>
      </c>
      <c r="G20" s="14" t="inlineStr">
        <is>
          <t>100%</t>
        </is>
      </c>
      <c r="H20" s="6" t="inlineStr"/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0B0F0"/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2" customWidth="1" min="3" max="3"/>
    <col width="52" customWidth="1" min="4" max="4"/>
    <col width="14" customWidth="1" min="5" max="5"/>
    <col width="18" customWidth="1" min="6" max="6"/>
    <col width="12" customWidth="1" min="7" max="7"/>
    <col width="42" customWidth="1" min="8" max="8"/>
  </cols>
  <sheetData>
    <row r="1" ht="18" customHeight="1">
      <c r="A1" s="1" t="inlineStr">
        <is>
          <t>類型: 水洗  |  樣本: header_id=5 sheet="水洗"  |  總檔數: 150  |  生成: 2026-06-11</t>
        </is>
      </c>
    </row>
    <row r="2" ht="32" customHeight="1">
      <c r="A2" s="2" t="inlineStr">
        <is>
          <t>A: 原表位置</t>
        </is>
      </c>
      <c r="B2" s="2" t="inlineStr">
        <is>
          <t>B: 欄位名稱/表頭文字</t>
        </is>
      </c>
      <c r="C2" s="2" t="inlineStr">
        <is>
          <t>C: 樣本值</t>
        </is>
      </c>
      <c r="D2" s="2" t="inlineStr">
        <is>
          <t>D: 公式原文</t>
        </is>
      </c>
      <c r="E2" s="2" t="inlineStr">
        <is>
          <t>E: 判定 要/不要</t>
        </is>
      </c>
      <c r="F2" s="2" t="inlineStr">
        <is>
          <t>F: 判定 輸入方式</t>
        </is>
      </c>
      <c r="G2" s="2" t="inlineStr">
        <is>
          <t>G: 出現率%</t>
        </is>
      </c>
      <c r="H2" s="2" t="inlineStr">
        <is>
          <t>H: 【Jim反饋欄】← 空=同意，有字=修正意見</t>
        </is>
      </c>
    </row>
    <row r="3" ht="15" customHeight="1">
      <c r="A3" s="3" t="inlineStr">
        <is>
          <t>第1行</t>
        </is>
      </c>
      <c r="B3" s="4" t="inlineStr">
        <is>
          <t>BIỂU TÓM TẮT QUÁ TRÌNH  SẢN XUẤT   生产流程分析表</t>
        </is>
      </c>
      <c r="C3" s="3" t="inlineStr"/>
      <c r="D3" s="4" t="inlineStr"/>
      <c r="E3" s="5" t="inlineStr">
        <is>
          <t>不要</t>
        </is>
      </c>
      <c r="F3" s="3" t="inlineStr">
        <is>
          <t>—</t>
        </is>
      </c>
      <c r="G3" s="3" t="inlineStr"/>
      <c r="H3" s="6" t="inlineStr"/>
    </row>
    <row r="4" ht="15" customHeight="1">
      <c r="A4" s="3" t="inlineStr">
        <is>
          <t>第2行</t>
        </is>
      </c>
      <c r="B4" s="4" t="inlineStr">
        <is>
          <t>OPERATION BREAKDOWN SUMMARY</t>
        </is>
      </c>
      <c r="C4" s="3" t="inlineStr"/>
      <c r="D4" s="4" t="inlineStr"/>
      <c r="E4" s="5" t="inlineStr">
        <is>
          <t>不要</t>
        </is>
      </c>
      <c r="F4" s="3" t="inlineStr">
        <is>
          <t>—</t>
        </is>
      </c>
      <c r="G4" s="3" t="inlineStr"/>
      <c r="H4" s="6" t="inlineStr"/>
    </row>
    <row r="5" ht="15" customHeight="1">
      <c r="A5" s="3" t="inlineStr">
        <is>
          <t>第4行</t>
        </is>
      </c>
      <c r="B5" s="4" t="inlineStr">
        <is>
          <t>Mã số văn kiện : Document No. 文件編號: I/ WQX/A-1</t>
        </is>
      </c>
      <c r="C5" s="3" t="inlineStr"/>
      <c r="D5" s="4" t="inlineStr"/>
      <c r="E5" s="5" t="inlineStr">
        <is>
          <t>不要</t>
        </is>
      </c>
      <c r="F5" s="3" t="inlineStr">
        <is>
          <t>—</t>
        </is>
      </c>
      <c r="G5" s="3" t="inlineStr"/>
      <c r="H5" s="6" t="inlineStr"/>
    </row>
    <row r="6" ht="15" customHeight="1">
      <c r="A6" s="3" t="inlineStr">
        <is>
          <t>第5行</t>
        </is>
      </c>
      <c r="B6" s="4" t="inlineStr">
        <is>
          <t>Tên hình thể giày: SL 72 RS ELC/ELI  Mục tiêu sản lượng: 160</t>
        </is>
      </c>
      <c r="C6" s="3" t="inlineStr"/>
      <c r="D6" s="4" t="inlineStr"/>
      <c r="E6" s="5" t="inlineStr">
        <is>
          <t>不要</t>
        </is>
      </c>
      <c r="F6" s="3" t="inlineStr">
        <is>
          <t>—</t>
        </is>
      </c>
      <c r="G6" s="3" t="inlineStr"/>
      <c r="H6" s="6" t="inlineStr"/>
    </row>
    <row r="7" ht="15" customHeight="1">
      <c r="A7" s="3" t="inlineStr">
        <is>
          <t>第6行</t>
        </is>
      </c>
      <c r="B7" s="4" t="inlineStr">
        <is>
          <t xml:space="preserve">Model Name : SL 72 RS ELC/ELI Target Output : 1600 Prs / 8H </t>
        </is>
      </c>
      <c r="C7" s="3" t="inlineStr"/>
      <c r="D7" s="4" t="inlineStr"/>
      <c r="E7" s="5" t="inlineStr">
        <is>
          <t>不要</t>
        </is>
      </c>
      <c r="F7" s="3" t="inlineStr">
        <is>
          <t>—</t>
        </is>
      </c>
      <c r="G7" s="3" t="inlineStr"/>
      <c r="H7" s="6" t="inlineStr"/>
    </row>
    <row r="8" ht="15" customHeight="1">
      <c r="A8" s="3" t="inlineStr">
        <is>
          <t>第7行</t>
        </is>
      </c>
      <c r="B8" s="4" t="inlineStr">
        <is>
          <t>鞋型名称: SL 72 RS ELC/ELI 目標產能 : 1600 双/8H (200双/H).  TT：18.0 秒</t>
        </is>
      </c>
      <c r="C8" s="3" t="inlineStr"/>
      <c r="D8" s="4" t="inlineStr"/>
      <c r="E8" s="5" t="inlineStr">
        <is>
          <t>不要</t>
        </is>
      </c>
      <c r="F8" s="3" t="inlineStr">
        <is>
          <t>—</t>
        </is>
      </c>
      <c r="G8" s="3" t="inlineStr"/>
      <c r="H8" s="6" t="inlineStr"/>
    </row>
    <row r="9" ht="15" customHeight="1">
      <c r="A9" s="3" t="inlineStr">
        <is>
          <t>第8行</t>
        </is>
      </c>
      <c r="B9" s="4" t="inlineStr">
        <is>
          <t>流程名稱: 水洗 - Rửa đế / RB                        Mã số đế  Outs</t>
        </is>
      </c>
      <c r="C9" s="3" t="inlineStr"/>
      <c r="D9" s="4" t="inlineStr"/>
      <c r="E9" s="5" t="inlineStr">
        <is>
          <t>不要</t>
        </is>
      </c>
      <c r="F9" s="3" t="inlineStr">
        <is>
          <t>—</t>
        </is>
      </c>
      <c r="G9" s="3" t="inlineStr"/>
      <c r="H9" s="6" t="inlineStr"/>
    </row>
    <row r="10" ht="15" customHeight="1">
      <c r="A10" s="7" t="inlineStr">
        <is>
          <t>B</t>
        </is>
      </c>
      <c r="B10" s="8" t="inlineStr">
        <is>
          <t>STT / Seq.No / 序號</t>
        </is>
      </c>
      <c r="C10" s="7" t="inlineStr">
        <is>
          <t>1</t>
        </is>
      </c>
      <c r="D10" s="8">
        <f>SUM_Stock!B31</f>
        <v/>
      </c>
      <c r="E10" s="9" t="inlineStr">
        <is>
          <t>要</t>
        </is>
      </c>
      <c r="F10" s="7" t="inlineStr">
        <is>
          <t>公式(鎖定)</t>
        </is>
      </c>
      <c r="G10" s="10" t="inlineStr">
        <is>
          <t>100%</t>
        </is>
      </c>
      <c r="H10" s="6" t="inlineStr"/>
    </row>
    <row r="11" ht="15" customHeight="1">
      <c r="A11" s="11" t="inlineStr">
        <is>
          <t>C</t>
        </is>
      </c>
      <c r="B11" s="12" t="inlineStr">
        <is>
          <t>Tên thao tác / Operations Name / 流程名稱:</t>
        </is>
      </c>
      <c r="C11" s="11" t="inlineStr">
        <is>
          <t>Thả liệu</t>
        </is>
      </c>
      <c r="D11" s="12" t="inlineStr"/>
      <c r="E11" s="13" t="inlineStr">
        <is>
          <t>要</t>
        </is>
      </c>
      <c r="F11" s="11" t="inlineStr">
        <is>
          <t>人工輸入</t>
        </is>
      </c>
      <c r="G11" s="14" t="inlineStr">
        <is>
          <t>100%</t>
        </is>
      </c>
      <c r="H11" s="6" t="inlineStr"/>
    </row>
    <row r="12" ht="15" customHeight="1">
      <c r="A12" s="7" t="inlineStr">
        <is>
          <t>D</t>
        </is>
      </c>
      <c r="B12" s="8" t="inlineStr">
        <is>
          <t>Thời gian 
thực chất / Cycle time
(Secs/
Pr) / 正常時間 (秒/雙)</t>
        </is>
      </c>
      <c r="C12" s="7" t="inlineStr">
        <is>
          <t>2</t>
        </is>
      </c>
      <c r="D12" s="8">
        <f>SUM(D13:D29)</f>
        <v/>
      </c>
      <c r="E12" s="9" t="inlineStr">
        <is>
          <t>要</t>
        </is>
      </c>
      <c r="F12" s="7" t="inlineStr">
        <is>
          <t>公式(鎖定)</t>
        </is>
      </c>
      <c r="G12" s="10" t="inlineStr">
        <is>
          <t>100%</t>
        </is>
      </c>
      <c r="H12" s="6" t="inlineStr"/>
    </row>
    <row r="13" ht="15" customHeight="1">
      <c r="A13" s="11" t="inlineStr">
        <is>
          <t>E</t>
        </is>
      </c>
      <c r="B13" s="12" t="inlineStr">
        <is>
          <t>Trừ hao
10% / Allowance (10%) / 寬放率%</t>
        </is>
      </c>
      <c r="C13" s="11" t="inlineStr">
        <is>
          <t>10</t>
        </is>
      </c>
      <c r="D13" s="12" t="inlineStr"/>
      <c r="E13" s="13" t="inlineStr">
        <is>
          <t>要</t>
        </is>
      </c>
      <c r="F13" s="11" t="inlineStr">
        <is>
          <t>人工輸入</t>
        </is>
      </c>
      <c r="G13" s="14" t="inlineStr">
        <is>
          <t>100%</t>
        </is>
      </c>
      <c r="H13" s="6" t="inlineStr"/>
    </row>
    <row r="14" ht="15" customHeight="1">
      <c r="A14" s="7" t="inlineStr">
        <is>
          <t>F</t>
        </is>
      </c>
      <c r="B14" s="8" t="inlineStr">
        <is>
          <t>Tiêu chuẩn thời gian
giây/đôi / Standard time
 (Secs/
Pr)</t>
        </is>
      </c>
      <c r="C14" s="7">
        <f>D13*1.1</f>
        <v/>
      </c>
      <c r="D14" s="8">
        <f>D13*1.1</f>
        <v/>
      </c>
      <c r="E14" s="9" t="inlineStr">
        <is>
          <t>要</t>
        </is>
      </c>
      <c r="F14" s="7" t="inlineStr">
        <is>
          <t>公式(鎖定)</t>
        </is>
      </c>
      <c r="G14" s="10" t="inlineStr">
        <is>
          <t>100%</t>
        </is>
      </c>
      <c r="H14" s="6" t="inlineStr"/>
    </row>
    <row r="15" ht="15" customHeight="1">
      <c r="A15" s="7" t="inlineStr">
        <is>
          <t>G</t>
        </is>
      </c>
      <c r="B15" s="8" t="inlineStr">
        <is>
          <t>Mục tiêu sản xuất
(đôi/H) / Target output 
(Pair/ Hou</t>
        </is>
      </c>
      <c r="C15" s="7">
        <f>3600/F13</f>
        <v/>
      </c>
      <c r="D15" s="8">
        <f>3600/F13</f>
        <v/>
      </c>
      <c r="E15" s="9" t="inlineStr">
        <is>
          <t>要</t>
        </is>
      </c>
      <c r="F15" s="7" t="inlineStr">
        <is>
          <t>公式(鎖定)</t>
        </is>
      </c>
      <c r="G15" s="10" t="inlineStr">
        <is>
          <t>100%</t>
        </is>
      </c>
      <c r="H15" s="6" t="inlineStr"/>
    </row>
    <row r="16" ht="15" customHeight="1">
      <c r="A16" s="16" t="inlineStr">
        <is>
          <t>H</t>
        </is>
      </c>
      <c r="B16" s="17" t="inlineStr">
        <is>
          <t>Số người lý luận / Operators in theory / 理論人數</t>
        </is>
      </c>
      <c r="C16" s="16">
        <f>F13/$M$10</f>
        <v/>
      </c>
      <c r="D16" s="17">
        <f>F13/$M$10 ⚠ 3種變體</f>
        <v/>
      </c>
      <c r="E16" s="18" t="inlineStr">
        <is>
          <t>要</t>
        </is>
      </c>
      <c r="F16" s="16" t="inlineStr">
        <is>
          <t>公式(鎖定)</t>
        </is>
      </c>
      <c r="G16" s="19" t="inlineStr">
        <is>
          <t>100%</t>
        </is>
      </c>
      <c r="H16" s="6" t="inlineStr"/>
    </row>
    <row r="17" ht="15" customHeight="1">
      <c r="A17" s="7" t="inlineStr">
        <is>
          <t>I</t>
        </is>
      </c>
      <c r="B17" s="8" t="inlineStr">
        <is>
          <t>Số người 
thực tế
IE sắp đặt / No.of Operators / 實際人數</t>
        </is>
      </c>
      <c r="C17" s="7" t="inlineStr">
        <is>
          <t>0.5</t>
        </is>
      </c>
      <c r="D17" s="8">
        <f>SUM(I13:I29)</f>
        <v/>
      </c>
      <c r="E17" s="9" t="inlineStr">
        <is>
          <t>要</t>
        </is>
      </c>
      <c r="F17" s="7" t="inlineStr">
        <is>
          <t>公式(鎖定)</t>
        </is>
      </c>
      <c r="G17" s="10" t="inlineStr">
        <is>
          <t>100%</t>
        </is>
      </c>
      <c r="H17" s="6" t="inlineStr"/>
    </row>
    <row r="18" ht="15" customHeight="1">
      <c r="A18" s="11" t="inlineStr">
        <is>
          <t>J</t>
        </is>
      </c>
      <c r="B18" s="12" t="inlineStr">
        <is>
          <t>Những công cụ sử dụng
Machines 
所用工具 / Tên máy
Name of machi</t>
        </is>
      </c>
      <c r="C18" s="11" t="inlineStr">
        <is>
          <t>Thủ công
手工</t>
        </is>
      </c>
      <c r="D18" s="12" t="inlineStr"/>
      <c r="E18" s="13" t="inlineStr">
        <is>
          <t>要</t>
        </is>
      </c>
      <c r="F18" s="11" t="inlineStr">
        <is>
          <t>人工輸入</t>
        </is>
      </c>
      <c r="G18" s="14" t="inlineStr">
        <is>
          <t>100%</t>
        </is>
      </c>
      <c r="H18" s="6" t="inlineStr"/>
    </row>
    <row r="19" ht="15" customHeight="1">
      <c r="A19" s="16" t="inlineStr">
        <is>
          <t>K</t>
        </is>
      </c>
      <c r="B19" s="17" t="inlineStr">
        <is>
          <t>Số lượng máy
 Quantity of machine 
机器數量</t>
        </is>
      </c>
      <c r="C19" s="16">
        <f>28800/(375/(1165/40))*4</f>
        <v/>
      </c>
      <c r="D19" s="17">
        <f>28800/(375/(1165/40))*4 ⚠ 2種變體</f>
        <v/>
      </c>
      <c r="E19" s="18" t="inlineStr">
        <is>
          <t>要</t>
        </is>
      </c>
      <c r="F19" s="16" t="inlineStr">
        <is>
          <t>公式(鎖定)</t>
        </is>
      </c>
      <c r="G19" s="19" t="inlineStr">
        <is>
          <t>100%</t>
        </is>
      </c>
      <c r="H19" s="6" t="inlineStr"/>
    </row>
    <row r="20" ht="15" customHeight="1">
      <c r="A20" s="16" t="inlineStr">
        <is>
          <t>L</t>
        </is>
      </c>
      <c r="B20" s="17" t="inlineStr">
        <is>
          <t>Ghi chú / Remarks / 備注</t>
        </is>
      </c>
      <c r="C20" s="16" t="inlineStr">
        <is>
          <t>Dài 11.65M, chiều rộng 40cm, thời gian 375 giây
长1</t>
        </is>
      </c>
      <c r="D20" s="17" t="inlineStr">
        <is>
          <t xml:space="preserve"> ⚠ 4種變體</t>
        </is>
      </c>
      <c r="E20" s="18" t="inlineStr">
        <is>
          <t>要</t>
        </is>
      </c>
      <c r="F20" s="16" t="inlineStr">
        <is>
          <t>人工輸入</t>
        </is>
      </c>
      <c r="G20" s="19" t="inlineStr">
        <is>
          <t>100%</t>
        </is>
      </c>
      <c r="H20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2026-06-11T09:53:42Z</dcterms:created>
  <dcterms:modified xsi:type="dcterms:W3CDTF">2026-06-11T09:53:45Z</dcterms:modified>
</cp:coreProperties>
</file>