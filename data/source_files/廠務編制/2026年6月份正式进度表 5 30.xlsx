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9fdf8e6b72593ca/Desktop/Biên chế/Jun/"/>
    </mc:Choice>
  </mc:AlternateContent>
  <xr:revisionPtr revIDLastSave="10" documentId="11_C2118FD068DC2F7CBF1352839C34D72700178C7C" xr6:coauthVersionLast="47" xr6:coauthVersionMax="47" xr10:uidLastSave="{A9746D37-01FF-4AAF-83BB-B5C88CA1F5E5}"/>
  <bookViews>
    <workbookView xWindow="-110" yWindow="-110" windowWidth="19420" windowHeight="11500" tabRatio="862" activeTab="4" xr2:uid="{00000000-000D-0000-FFFF-FFFF00000000}"/>
  </bookViews>
  <sheets>
    <sheet name="1部 " sheetId="428" r:id="rId1"/>
    <sheet name="2部 " sheetId="430" r:id="rId2"/>
    <sheet name="3部" sheetId="414" r:id="rId3"/>
    <sheet name="5部" sheetId="415" r:id="rId4"/>
    <sheet name="說明表" sheetId="431" r:id="rId5"/>
    <sheet name="6部" sheetId="416" r:id="rId6"/>
    <sheet name="7部" sheetId="417" r:id="rId7"/>
    <sheet name="8部" sheetId="418" r:id="rId8"/>
    <sheet name="9部" sheetId="419" r:id="rId9"/>
    <sheet name="10部" sheetId="420" r:id="rId10"/>
    <sheet name="11部" sheetId="421" r:id="rId11"/>
    <sheet name="11部 (2)" sheetId="422" r:id="rId12"/>
    <sheet name="12部" sheetId="423" r:id="rId13"/>
    <sheet name="外包  (永好)" sheetId="424" r:id="rId14"/>
    <sheet name="lay ra" sheetId="429" state="hidden" r:id="rId15"/>
  </sheets>
  <definedNames>
    <definedName name="_xlnm.Print_Area" localSheetId="9">'10部'!$A$1:$AL$75</definedName>
    <definedName name="_xlnm.Print_Area" localSheetId="10">'11部'!$A$1:$AL$92</definedName>
    <definedName name="_xlnm.Print_Area" localSheetId="11">'11部 (2)'!$A$1:$AL$53</definedName>
    <definedName name="_xlnm.Print_Area" localSheetId="12">'12部'!$A$1:$AL$86</definedName>
    <definedName name="_xlnm.Print_Area" localSheetId="0">'1部 '!$A$1:$AL$83</definedName>
    <definedName name="_xlnm.Print_Area" localSheetId="1">'2部 '!$A$1:$AL$103</definedName>
    <definedName name="_xlnm.Print_Area" localSheetId="2">'3部'!$A$1:$AL$64</definedName>
    <definedName name="_xlnm.Print_Area" localSheetId="3">'5部'!$A$1:$AL$82</definedName>
    <definedName name="_xlnm.Print_Area" localSheetId="5">'6部'!$A$1:$AL$82</definedName>
    <definedName name="_xlnm.Print_Area" localSheetId="6">'7部'!$A$1:$AL$96</definedName>
    <definedName name="_xlnm.Print_Area" localSheetId="7">'8部'!$A$1:$AL$87</definedName>
    <definedName name="_xlnm.Print_Area" localSheetId="8">'9部'!$A$1:$AL$118</definedName>
    <definedName name="_xlnm.Print_Area" localSheetId="13">'外包  (永好)'!$A$1:$AL$49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431" l="1"/>
  <c r="K6" i="431"/>
  <c r="K7" i="431"/>
  <c r="K8" i="431"/>
  <c r="K9" i="431"/>
  <c r="K10" i="431"/>
  <c r="K11" i="431"/>
  <c r="K12" i="431"/>
  <c r="K13" i="431"/>
  <c r="K14" i="431"/>
  <c r="K15" i="431"/>
  <c r="K16" i="431"/>
  <c r="K17" i="431"/>
  <c r="K18" i="431"/>
  <c r="K19" i="431"/>
  <c r="K20" i="431"/>
  <c r="K21" i="431"/>
  <c r="K22" i="431"/>
  <c r="K23" i="431"/>
  <c r="K24" i="431"/>
  <c r="K25" i="431"/>
  <c r="K26" i="431"/>
  <c r="K4" i="431"/>
  <c r="G3" i="431" l="1"/>
  <c r="G4" i="431" s="1"/>
  <c r="G5" i="431" s="1"/>
  <c r="G6" i="431" s="1"/>
  <c r="G7" i="431" s="1"/>
  <c r="G8" i="431" s="1"/>
  <c r="G9" i="431" s="1"/>
  <c r="G10" i="431" s="1"/>
  <c r="G11" i="431" s="1"/>
  <c r="G12" i="431" s="1"/>
  <c r="G13" i="431" s="1"/>
  <c r="G14" i="431" s="1"/>
  <c r="G15" i="431" s="1"/>
  <c r="G16" i="431" s="1"/>
  <c r="G17" i="431" s="1"/>
  <c r="G18" i="431" s="1"/>
  <c r="G19" i="431" s="1"/>
  <c r="G20" i="431" s="1"/>
  <c r="G21" i="431" s="1"/>
  <c r="G22" i="431" s="1"/>
  <c r="G23" i="431" s="1"/>
  <c r="G24" i="431" s="1"/>
  <c r="G25" i="431" s="1"/>
  <c r="G26" i="431" s="1"/>
  <c r="G27" i="431" s="1"/>
  <c r="G28" i="431" s="1"/>
  <c r="G29" i="431" s="1"/>
  <c r="G30" i="431" s="1"/>
  <c r="G31" i="431" s="1"/>
  <c r="G32" i="431" s="1"/>
  <c r="G33" i="431" s="1"/>
  <c r="L5" i="431"/>
  <c r="N5" i="431" s="1"/>
  <c r="L6" i="431"/>
  <c r="L7" i="431"/>
  <c r="N7" i="431" s="1"/>
  <c r="L8" i="431"/>
  <c r="L9" i="431"/>
  <c r="N9" i="431" s="1"/>
  <c r="L10" i="431"/>
  <c r="L11" i="431"/>
  <c r="N11" i="431" s="1"/>
  <c r="L12" i="431"/>
  <c r="N12" i="431" s="1"/>
  <c r="L13" i="431"/>
  <c r="N13" i="431" s="1"/>
  <c r="L14" i="431"/>
  <c r="L15" i="431"/>
  <c r="N15" i="431" s="1"/>
  <c r="L16" i="431"/>
  <c r="L17" i="431"/>
  <c r="N17" i="431" s="1"/>
  <c r="L18" i="431"/>
  <c r="L19" i="431"/>
  <c r="N19" i="431" s="1"/>
  <c r="L20" i="431"/>
  <c r="N20" i="431" s="1"/>
  <c r="L21" i="431"/>
  <c r="N21" i="431" s="1"/>
  <c r="L22" i="431"/>
  <c r="L23" i="431"/>
  <c r="N23" i="431" s="1"/>
  <c r="L24" i="431"/>
  <c r="L25" i="431"/>
  <c r="N25" i="431" s="1"/>
  <c r="L26" i="431"/>
  <c r="L4" i="431"/>
  <c r="N4" i="431" l="1"/>
  <c r="O4" i="431" s="1"/>
  <c r="O5" i="431" s="1"/>
  <c r="N26" i="431"/>
  <c r="N18" i="431"/>
  <c r="N10" i="431"/>
  <c r="N24" i="431"/>
  <c r="N16" i="431"/>
  <c r="N8" i="431"/>
  <c r="N6" i="431"/>
  <c r="N22" i="431"/>
  <c r="N14" i="431"/>
  <c r="T83" i="423"/>
  <c r="AA48" i="423"/>
  <c r="Q50" i="422"/>
  <c r="O6" i="431" l="1"/>
  <c r="O7" i="431" s="1"/>
  <c r="O8" i="431" s="1"/>
  <c r="O9" i="431" s="1"/>
  <c r="O10" i="431" s="1"/>
  <c r="O11" i="431" s="1"/>
  <c r="O12" i="431" s="1"/>
  <c r="O13" i="431" s="1"/>
  <c r="O14" i="431" s="1"/>
  <c r="O15" i="431" s="1"/>
  <c r="O16" i="431" s="1"/>
  <c r="O17" i="431" s="1"/>
  <c r="O18" i="431" s="1"/>
  <c r="O19" i="431" s="1"/>
  <c r="O20" i="431" s="1"/>
  <c r="O21" i="431" s="1"/>
  <c r="O22" i="431" s="1"/>
  <c r="O23" i="431" s="1"/>
  <c r="O24" i="431" s="1"/>
  <c r="O25" i="431" s="1"/>
  <c r="O26" i="431" s="1"/>
  <c r="G48" i="423"/>
  <c r="G83" i="423"/>
  <c r="G50" i="422"/>
  <c r="N79" i="415" l="1"/>
  <c r="N45" i="419"/>
  <c r="G84" i="418" l="1"/>
  <c r="L66" i="417"/>
  <c r="G66" i="417"/>
  <c r="AA85" i="419" l="1"/>
  <c r="R85" i="419"/>
  <c r="K85" i="419"/>
  <c r="AD115" i="419"/>
  <c r="Q115" i="419"/>
  <c r="AI50" i="422"/>
  <c r="G79" i="415" l="1"/>
  <c r="AE72" i="420" l="1"/>
  <c r="X61" i="414" l="1"/>
  <c r="M72" i="420" l="1"/>
  <c r="G72" i="420" l="1"/>
  <c r="AI83" i="423" l="1"/>
  <c r="AH45" i="419"/>
  <c r="X45" i="419"/>
  <c r="Q52" i="415"/>
  <c r="AH52" i="415"/>
  <c r="I52" i="415" l="1"/>
  <c r="Z100" i="430" l="1"/>
  <c r="AG24" i="423" l="1"/>
  <c r="R24" i="423"/>
  <c r="L24" i="423"/>
  <c r="G24" i="423"/>
  <c r="T66" i="430" l="1"/>
  <c r="X89" i="421"/>
  <c r="P89" i="421"/>
  <c r="W57" i="421"/>
  <c r="L57" i="421"/>
  <c r="G57" i="421"/>
  <c r="L32" i="421" l="1"/>
  <c r="F93" i="417"/>
  <c r="AD36" i="414"/>
  <c r="AG61" i="414"/>
  <c r="G61" i="414"/>
  <c r="L36" i="414"/>
  <c r="G36" i="414"/>
  <c r="AA24" i="420"/>
  <c r="M57" i="428" l="1"/>
  <c r="G57" i="428"/>
  <c r="AH48" i="423" l="1"/>
  <c r="U45" i="420"/>
  <c r="M45" i="420"/>
  <c r="AF41" i="430" l="1"/>
  <c r="S41" i="430"/>
  <c r="G41" i="430"/>
  <c r="AJ21" i="430" s="1"/>
  <c r="AM5" i="430"/>
  <c r="T100" i="430"/>
  <c r="F100" i="430"/>
  <c r="AJ82" i="430"/>
  <c r="AM68" i="430"/>
  <c r="AG66" i="430"/>
  <c r="G66" i="430"/>
  <c r="AJ55" i="430" s="1"/>
  <c r="AM43" i="430"/>
  <c r="AP15" i="430"/>
  <c r="AP14" i="430"/>
  <c r="M79" i="416" l="1"/>
  <c r="G29" i="418"/>
  <c r="M29" i="418"/>
  <c r="G27" i="416"/>
  <c r="G46" i="424" l="1"/>
  <c r="U72" i="420" l="1"/>
  <c r="AH84" i="418" l="1"/>
  <c r="AG26" i="424"/>
  <c r="M61" i="414"/>
  <c r="AH79" i="416"/>
  <c r="S79" i="416"/>
  <c r="T26" i="424"/>
  <c r="G79" i="416" l="1"/>
  <c r="W38" i="417"/>
  <c r="P38" i="417"/>
  <c r="G38" i="417"/>
  <c r="G56" i="416" l="1"/>
  <c r="G45" i="419"/>
  <c r="T28" i="422" l="1"/>
  <c r="L28" i="422"/>
  <c r="G28" i="422"/>
  <c r="G45" i="420" l="1"/>
  <c r="G85" i="419"/>
  <c r="S20" i="419"/>
  <c r="M20" i="419"/>
  <c r="G20" i="419"/>
  <c r="Y84" i="418"/>
  <c r="Q84" i="418"/>
  <c r="G63" i="418"/>
  <c r="AE29" i="418"/>
  <c r="U29" i="418"/>
  <c r="G29" i="415" l="1"/>
  <c r="I80" i="428" l="1"/>
  <c r="U57" i="428"/>
  <c r="G33" i="428"/>
  <c r="AA46" i="424" l="1"/>
  <c r="AH89" i="421" l="1"/>
  <c r="X93" i="417"/>
  <c r="AH24" i="420" l="1"/>
  <c r="AG45" i="420"/>
  <c r="AG80" i="428"/>
  <c r="T80" i="428"/>
  <c r="N63" i="418"/>
  <c r="W27" i="416"/>
  <c r="K115" i="419" l="1"/>
  <c r="AD33" i="428" l="1"/>
  <c r="AG63" i="418" l="1"/>
  <c r="AG29" i="415" l="1"/>
  <c r="M29" i="415"/>
  <c r="AH38" i="417" l="1"/>
  <c r="AM59" i="428" l="1"/>
  <c r="AM35" i="428"/>
  <c r="AM5" i="428"/>
  <c r="AJ14" i="428" l="1"/>
  <c r="AJ70" i="428"/>
  <c r="AJ47" i="428"/>
  <c r="AJ37" i="424" l="1"/>
  <c r="AJ34" i="419"/>
  <c r="AM28" i="424" l="1"/>
  <c r="K26" i="424"/>
  <c r="AJ16" i="424" s="1"/>
  <c r="AM7" i="424"/>
  <c r="AL5" i="424"/>
  <c r="AK5" i="424"/>
  <c r="AI5" i="424"/>
  <c r="AH5" i="424"/>
  <c r="AG5" i="424"/>
  <c r="AF5" i="424"/>
  <c r="AE5" i="424"/>
  <c r="AD5" i="424"/>
  <c r="AB5" i="424"/>
  <c r="AA5" i="424"/>
  <c r="Z5" i="424"/>
  <c r="Y5" i="424"/>
  <c r="X5" i="424"/>
  <c r="W5" i="424"/>
  <c r="U5" i="424"/>
  <c r="T5" i="424"/>
  <c r="S5" i="424"/>
  <c r="R5" i="424"/>
  <c r="Q5" i="424"/>
  <c r="P5" i="424"/>
  <c r="N5" i="424"/>
  <c r="M5" i="424"/>
  <c r="L5" i="424"/>
  <c r="K5" i="424"/>
  <c r="J5" i="424"/>
  <c r="I5" i="424"/>
  <c r="G5" i="424"/>
  <c r="AJ63" i="423"/>
  <c r="AM50" i="423"/>
  <c r="AJ36" i="423"/>
  <c r="AM26" i="423"/>
  <c r="AM5" i="423"/>
  <c r="AM30" i="422"/>
  <c r="AJ20" i="422"/>
  <c r="AM5" i="422"/>
  <c r="F89" i="421"/>
  <c r="AM59" i="421"/>
  <c r="AJ46" i="421"/>
  <c r="AM34" i="421"/>
  <c r="Z32" i="421"/>
  <c r="AJ17" i="421" s="1"/>
  <c r="AM5" i="421"/>
  <c r="AJ60" i="420"/>
  <c r="AM47" i="420"/>
  <c r="AJ38" i="420"/>
  <c r="AM26" i="420"/>
  <c r="W24" i="420"/>
  <c r="F24" i="420"/>
  <c r="AM5" i="420"/>
  <c r="AM87" i="419"/>
  <c r="AJ67" i="419"/>
  <c r="AM47" i="419"/>
  <c r="AM22" i="419"/>
  <c r="AJ15" i="419"/>
  <c r="AM5" i="419"/>
  <c r="AJ75" i="418"/>
  <c r="AM65" i="418"/>
  <c r="T63" i="418"/>
  <c r="AJ44" i="418" s="1"/>
  <c r="AM32" i="418"/>
  <c r="AJ18" i="418"/>
  <c r="AM5" i="418"/>
  <c r="Q93" i="417"/>
  <c r="AJ79" i="417" s="1"/>
  <c r="K93" i="417"/>
  <c r="AM68" i="417"/>
  <c r="AH66" i="417"/>
  <c r="Y66" i="417"/>
  <c r="R66" i="417"/>
  <c r="AM40" i="417"/>
  <c r="AJ21" i="417"/>
  <c r="AM5" i="417"/>
  <c r="AM58" i="416"/>
  <c r="AD56" i="416"/>
  <c r="S56" i="416"/>
  <c r="M56" i="416"/>
  <c r="AM29" i="416"/>
  <c r="M27" i="416"/>
  <c r="AJ18" i="416" s="1"/>
  <c r="AM5" i="416"/>
  <c r="AB79" i="415"/>
  <c r="T79" i="415"/>
  <c r="AM54" i="415"/>
  <c r="AJ42" i="415"/>
  <c r="AM31" i="415"/>
  <c r="AJ15" i="415"/>
  <c r="AM5" i="415"/>
  <c r="AJ51" i="414"/>
  <c r="AM38" i="414"/>
  <c r="T36" i="414"/>
  <c r="AM5" i="414"/>
  <c r="AJ15" i="420" l="1"/>
  <c r="AJ44" i="416"/>
  <c r="AJ56" i="417"/>
  <c r="AJ68" i="415"/>
  <c r="AJ17" i="414"/>
  <c r="AJ70" i="416"/>
  <c r="AJ73" i="421"/>
  <c r="AJ98" i="419"/>
  <c r="AJ41" i="422"/>
  <c r="AJ14" i="423"/>
</calcChain>
</file>

<file path=xl/sharedStrings.xml><?xml version="1.0" encoding="utf-8"?>
<sst xmlns="http://schemas.openxmlformats.org/spreadsheetml/2006/main" count="2975" uniqueCount="1666">
  <si>
    <t>产量</t>
  </si>
  <si>
    <t>PRS</t>
  </si>
  <si>
    <t>备注</t>
  </si>
  <si>
    <t>***进度未经知会生管股请勿调动;</t>
  </si>
  <si>
    <t>制
表</t>
  </si>
  <si>
    <t>会
签</t>
  </si>
  <si>
    <t>复
核</t>
  </si>
  <si>
    <t>***各单位请注意原物料及生产工具之配合.以利生产顺利</t>
  </si>
  <si>
    <t>成型进度</t>
  </si>
  <si>
    <t>加一B组</t>
  </si>
  <si>
    <t>加一C组</t>
  </si>
  <si>
    <t>月份</t>
  </si>
  <si>
    <t>日期</t>
  </si>
  <si>
    <t>星期</t>
  </si>
  <si>
    <t>四</t>
  </si>
  <si>
    <t>五</t>
  </si>
  <si>
    <t>日</t>
  </si>
  <si>
    <t>三</t>
  </si>
  <si>
    <t>工作時數</t>
  </si>
  <si>
    <t>进度排量</t>
  </si>
  <si>
    <t>转换鞋型</t>
  </si>
  <si>
    <t>加一A组</t>
  </si>
  <si>
    <t>加二A组</t>
  </si>
  <si>
    <t>加五A组</t>
  </si>
  <si>
    <t>加五B组</t>
  </si>
  <si>
    <t>加六A组</t>
  </si>
  <si>
    <t>加六B组</t>
  </si>
  <si>
    <t>加六C组</t>
  </si>
  <si>
    <t>加七A组</t>
  </si>
  <si>
    <t>加七B组</t>
  </si>
  <si>
    <t>加八A组</t>
  </si>
  <si>
    <t>加八B组</t>
  </si>
  <si>
    <t>加九A组</t>
  </si>
  <si>
    <t>加九B组</t>
  </si>
  <si>
    <t>加九C组</t>
  </si>
  <si>
    <t>加十一A1组</t>
  </si>
  <si>
    <t>加十一A2组</t>
  </si>
  <si>
    <t>加十一B1组</t>
  </si>
  <si>
    <t>加十一B2组</t>
  </si>
  <si>
    <t>加十一C组</t>
  </si>
  <si>
    <t>加十二A组</t>
  </si>
  <si>
    <t>加八C组</t>
  </si>
  <si>
    <t>加五C组</t>
  </si>
  <si>
    <t>加十二C组</t>
  </si>
  <si>
    <t>加十二D组</t>
  </si>
  <si>
    <t>加二B组</t>
  </si>
  <si>
    <t>批
示</t>
  </si>
  <si>
    <t>加十A组</t>
  </si>
  <si>
    <t>加十B组</t>
  </si>
  <si>
    <t>加十C组</t>
  </si>
  <si>
    <t>加二C组</t>
  </si>
  <si>
    <t>加三A组</t>
  </si>
  <si>
    <t>加三B组</t>
  </si>
  <si>
    <t>5月</t>
  </si>
  <si>
    <t>一</t>
    <phoneticPr fontId="48" type="noConversion"/>
  </si>
  <si>
    <t>二</t>
    <phoneticPr fontId="48" type="noConversion"/>
  </si>
  <si>
    <t>六</t>
    <phoneticPr fontId="48" type="noConversion"/>
  </si>
  <si>
    <t>6月</t>
  </si>
  <si>
    <t xml:space="preserve">  2026年6月份生产二部正式进度表</t>
  </si>
  <si>
    <t>1609ER RS(41113/AD-74080/74079)</t>
  </si>
  <si>
    <t>MF2606KH9907-04--524(6/13)</t>
  </si>
  <si>
    <t>MF2606KH9907-05--226(6/13)</t>
  </si>
  <si>
    <t>MF2606KH9908-01--308(6/13)</t>
  </si>
  <si>
    <t>MF2606KI9853-01--182(6/13)</t>
  </si>
  <si>
    <t>MF2606KI9853-03--189(6/13)</t>
  </si>
  <si>
    <t>MF2606KI9855-01--157(6/13)</t>
  </si>
  <si>
    <t>MF2606KI9855-03--404(6/13)</t>
  </si>
  <si>
    <t>MF2606KI9855-04--167(6/13)</t>
  </si>
  <si>
    <t>MF2606KI9857-01--790(6/13)</t>
  </si>
  <si>
    <t>MF2606KI9861-01--345(6/13)</t>
  </si>
  <si>
    <t>80双</t>
  </si>
  <si>
    <t>MF2606KH9907-02--300(6/21)</t>
  </si>
  <si>
    <t>MF2606KH9907-01--300(6/28)</t>
  </si>
  <si>
    <t>MF2606KH9907-03--240(6/28)</t>
  </si>
  <si>
    <t>MF2606KH9908-02--300(6/28)</t>
  </si>
  <si>
    <t>MF2606KH9909-01--103(6/28)</t>
  </si>
  <si>
    <t>MF2606KI9855-02--158(6/28)</t>
  </si>
  <si>
    <t>MF2607KH9908-01--500(7/5)</t>
  </si>
  <si>
    <t>MF2607KI9860-01--800(7/5)</t>
  </si>
  <si>
    <t>ADICHILL(41090/AD-71985/73708)</t>
  </si>
  <si>
    <t>MF2606KI1403-01--198(6/28)</t>
  </si>
  <si>
    <t>BUSENITZ(41TUR/AD-00825/44244)</t>
  </si>
  <si>
    <t>MF2606G48060-01--68(6/13)</t>
  </si>
  <si>
    <t>MF2606KJ0260-01--339(6/13)</t>
  </si>
  <si>
    <t>MF2606KJ0261-01--271(6/13)</t>
  </si>
  <si>
    <t>MF2606KJ0260-06--120(6/21)</t>
  </si>
  <si>
    <t>MF2606G48060-02--85(6/28)</t>
  </si>
  <si>
    <t>MF2606KI7713-03--100(6/28)</t>
  </si>
  <si>
    <t>MF2606KJ0259-02--90(6/28)</t>
  </si>
  <si>
    <t>MF2606KJ0260-02--100(6/28)</t>
  </si>
  <si>
    <t>MF2606KJ0261-03--85(6/28)</t>
  </si>
  <si>
    <t>MF2607KI7713-01--164(7/5)</t>
  </si>
  <si>
    <t>MF2607KJ0259-01--113(7/5)</t>
  </si>
  <si>
    <t>MF2607KJ0261-01--338(7/5)</t>
  </si>
  <si>
    <t>MF2607KJ0260-01--50(7/5)日本</t>
  </si>
  <si>
    <t>BUSENITZ VINTAGE(41TUR/AD-00825/44244)</t>
  </si>
  <si>
    <t>MF2606KI7725-01--50(6/13)</t>
  </si>
  <si>
    <t>MF2606KI7714-02--90(6/28)</t>
  </si>
  <si>
    <t>140双</t>
  </si>
  <si>
    <t>CAMPUS 00s GOLF(41103/AD-69920/69919)</t>
  </si>
  <si>
    <t>MF2607LA6421-01--300(7/5)日本</t>
  </si>
  <si>
    <t>GAZELLE GOLF(41TUR/AD-66068/66067)</t>
  </si>
  <si>
    <t>MF2606KJ5429-01--51(6/13)</t>
  </si>
  <si>
    <t>MF2606KJ5427-01--289(6/28)</t>
  </si>
  <si>
    <t>MF2606KJ5427-03--236(6/28)</t>
  </si>
  <si>
    <t>MF2606KJ5427-02--2(6/18)CMA 订单</t>
  </si>
  <si>
    <t>MF2606KJ8220-01--298(6/28)日本</t>
  </si>
  <si>
    <t>HANDBALL SPEZIAL(41TUR/AD-00825/44244)</t>
  </si>
  <si>
    <t>MF2606KK3019-04--688(6/28)</t>
  </si>
  <si>
    <t>LA TRAINER OG W(61BAS/AD-68783/68782)</t>
  </si>
  <si>
    <t>MF2606KK2438-03--388(6/13)</t>
  </si>
  <si>
    <t>MF2606KK2445-06--300(6/13)</t>
  </si>
  <si>
    <t>MF2606KK2445-07--300(6/13)</t>
  </si>
  <si>
    <t>MF2606KK2438-02--465(6/21)</t>
  </si>
  <si>
    <t>MF2606KK2445-05--1222(6/21)</t>
  </si>
  <si>
    <t>LA TRAINER OG(61BAS/AD-68783/68782)</t>
  </si>
  <si>
    <t>MF2606KH9679-11--900(6/12)</t>
  </si>
  <si>
    <t>MF2605KJ4382-01--2614(6/13)</t>
  </si>
  <si>
    <t>MF2605KJ4382-02--406(6/13)</t>
  </si>
  <si>
    <t>MF2605KJ4382-03--500(6/13)</t>
  </si>
  <si>
    <t>MF2605KJ4382-04--425(6/13)</t>
  </si>
  <si>
    <t>MF2605LA7413-01--318(6/13)</t>
  </si>
  <si>
    <t>MF2605LA7413-02--305(6/13)</t>
  </si>
  <si>
    <t>MF2605LA7413-03--330(6/13)</t>
  </si>
  <si>
    <t>MF2605LA7413-04--325(6/13)</t>
  </si>
  <si>
    <t>MF2605LA7413-05--314(6/13)</t>
  </si>
  <si>
    <t>MF2605LA7413-06--326(6/13)</t>
  </si>
  <si>
    <t>MF2605LA7413-08--321(6/13)</t>
  </si>
  <si>
    <t>MF2605LA7414-02--305(6/13)</t>
  </si>
  <si>
    <t>MF2605LA7414-03--318(6/13)</t>
  </si>
  <si>
    <t>MF2605LA7414-04--326(6/13)</t>
  </si>
  <si>
    <t>MF2605LA7414-05--314(6/13)</t>
  </si>
  <si>
    <t>MF2605LA7414-06--330(6/13)</t>
  </si>
  <si>
    <t>MF2605LA7414-07--321(6/13)</t>
  </si>
  <si>
    <t>MF2605LA7414-08--325(6/13)</t>
  </si>
  <si>
    <t>MF2606KJ1675-04--310(6/13)</t>
  </si>
  <si>
    <t>MF2606KJ1676-01--334(6/13)</t>
  </si>
  <si>
    <t>MF2606KJ1675-02--300(6/21)</t>
  </si>
  <si>
    <t>MF2606KJ1676-04--300(6/21)</t>
  </si>
  <si>
    <t>MF2606KH9679-02--300(6/21)</t>
  </si>
  <si>
    <t>MF2606KH9679-03--300(6/21)</t>
  </si>
  <si>
    <t>MF2606KH9679-04--349(6/21)</t>
  </si>
  <si>
    <t>MF2606KH9679-05--365(6/21)</t>
  </si>
  <si>
    <t>MF2606KH9679-08--326(6/21)</t>
  </si>
  <si>
    <t>MF2606KH9680-04--425(6/21)</t>
  </si>
  <si>
    <t>MF2606KH9681-01--300(6/21)</t>
  </si>
  <si>
    <t>MF2606KH9681-02--300(6/21)</t>
  </si>
  <si>
    <t>MF2606KH9681-04--300(6/21)</t>
  </si>
  <si>
    <t>MF2606KH9681-05--451(6/21)</t>
  </si>
  <si>
    <t>MF2606KH9680-02--227(6/28)</t>
  </si>
  <si>
    <t>MF2606KH9680-05--420(6/28)</t>
  </si>
  <si>
    <t>MF2606KH9680-06--900(6/28)</t>
  </si>
  <si>
    <t>MF2606KH9683-01--390(6/28)</t>
  </si>
  <si>
    <t>MF2606KH9683-02--1872(6/28)</t>
  </si>
  <si>
    <t>MF2606KH9683-03--970(6/28)</t>
  </si>
  <si>
    <t>MF2607KH9680-02--720(7/5)</t>
  </si>
  <si>
    <t>MF2606KH9679-01--267(6/28)</t>
  </si>
  <si>
    <t>MF2606KH9679-09--1011(6/28)</t>
  </si>
  <si>
    <t>MF2606KH9679-10--750(6/28)</t>
  </si>
  <si>
    <t>MF2606KJ4381-01--135(6/28)</t>
  </si>
  <si>
    <t>MF2606LA7413-02--393(6/28)</t>
  </si>
  <si>
    <t>MF2606LA7414-04--393(6/28)</t>
  </si>
  <si>
    <t>MF2607HQ2806-02--820(7/5)</t>
  </si>
  <si>
    <t>MF2607HQ2806-03--1878(7/5)</t>
  </si>
  <si>
    <t>MF2607KH9679-01--500(7/5)</t>
  </si>
  <si>
    <t>MF2607KH9679-02--1020(7/5)</t>
  </si>
  <si>
    <t>MF2607KH9679-04--300(7/5)</t>
  </si>
  <si>
    <t>MF2607KH9679-05--154(7/5)</t>
  </si>
  <si>
    <t>MF2607KH9681-01--735(7/5)</t>
  </si>
  <si>
    <t>MF2607KJ4380-02--430(7/5)</t>
  </si>
  <si>
    <t>MF2607KJ4381-01--116(7/5)</t>
  </si>
  <si>
    <t>MF2607KJ4382-01--574(7/5)</t>
  </si>
  <si>
    <t>MF2607KJ4382-03--585(7/5)</t>
  </si>
  <si>
    <t>MF2607KJ4382-04--705(7/5)</t>
  </si>
  <si>
    <t>MF2607LA7413-01--300(7/5)</t>
  </si>
  <si>
    <t>MF2607LA7414-01--300(7/5)</t>
  </si>
  <si>
    <t>MF2607KK2444-01--405(7/5)</t>
  </si>
  <si>
    <t>MF2607KK2445-01--582(7/5)</t>
  </si>
  <si>
    <t>OZMILLEN W(21404/AD-65019/65018)</t>
  </si>
  <si>
    <t>MF2606JH5642-01--100(6/28)</t>
  </si>
  <si>
    <t>MF2606JH5642-02--480(6/28)</t>
  </si>
  <si>
    <t>RETROCROSS 25(41TUR/AD-06982/06981)</t>
  </si>
  <si>
    <t>MF2606IH3396-03--314(6/28)</t>
  </si>
  <si>
    <t>RETROCROSS GRIPMORE(41TUR/AD-69682/69681)</t>
  </si>
  <si>
    <t>MF2606JR1899-01--76(6/28)</t>
  </si>
  <si>
    <t>MF2606KK2857-01--1200(6/28)</t>
  </si>
  <si>
    <t>R2C MID WD(71040/AD-69615/63335)</t>
  </si>
  <si>
    <t>MF2606KI1401-03--287(6/28)</t>
  </si>
  <si>
    <t>R2C MID(71039/AD-69615/63335)</t>
  </si>
  <si>
    <t>MF2606KI0352-05--319(6/28)</t>
  </si>
  <si>
    <t>ORGN ULTRA TECH(21001/AD-03083/45227)</t>
  </si>
  <si>
    <t>MF2605KZ6381-01--1200(6/28)</t>
  </si>
  <si>
    <t>MF2605KZ6382-01--1200(6/28)</t>
  </si>
  <si>
    <t>MF2606KI7557-01--3000(6/28)</t>
  </si>
  <si>
    <t>MF2606KI7558-01--8200(6/28)</t>
  </si>
  <si>
    <t>OZGAIA W(61BAS/AD-65049/65050)</t>
  </si>
  <si>
    <t>MF2605IG6045-01--7423(6/28)</t>
  </si>
  <si>
    <t>MF2606IG6045-03--694(6/28)</t>
  </si>
  <si>
    <t>MF2606IG6047-02--309(6/28)</t>
  </si>
  <si>
    <t>MF2606KZ7071-01--6969(6/28)</t>
  </si>
  <si>
    <t>MF2606KZ7072-01--5468(6/28)</t>
  </si>
  <si>
    <t>SAMBA GOLF(41002/AD-60822/60821)</t>
  </si>
  <si>
    <t>MF2606KJ5431-01--16(6/13)</t>
  </si>
  <si>
    <t>MF2606KJ8225-01--24(6/13)</t>
  </si>
  <si>
    <t>MF2606KJ8225-02--16(6/13)</t>
  </si>
  <si>
    <t>MF2606KJ8225-03--26(6/13)</t>
  </si>
  <si>
    <t>MF2606KJ8225-04--72(6/13)</t>
  </si>
  <si>
    <t>MF2606KJ8225-05--125(6/13)</t>
  </si>
  <si>
    <t>MF2606KJ8225-07--742(6/13)</t>
  </si>
  <si>
    <t>MF2606JH6151-01--16(6/13)</t>
  </si>
  <si>
    <t>MF2606JH6151-02--60(6/13)</t>
  </si>
  <si>
    <t>MF2606JH6151-03--53(6/13)</t>
  </si>
  <si>
    <t>MF2606JH6151-04--162(6/13)</t>
  </si>
  <si>
    <t>MF2606JH6151-05--132(6/13)</t>
  </si>
  <si>
    <t>MF2606JH6151-06--152(6/13)</t>
  </si>
  <si>
    <t>MF2606KJ5430-01--94(6/28)</t>
  </si>
  <si>
    <t>MF2606JH6149-01--373(6/28)</t>
  </si>
  <si>
    <t>MF2606KJ8225-06--836(6/28)日本</t>
  </si>
  <si>
    <t>125双</t>
  </si>
  <si>
    <t>MF2606IG6045-01--10638(6/13)</t>
  </si>
  <si>
    <t>MF2606IG6045-02--2420(6/13)</t>
  </si>
  <si>
    <t>MF2606IG6047-01--916(6/13)</t>
  </si>
  <si>
    <t>MF2606IG6049-01--3237(6/13)</t>
  </si>
  <si>
    <t>MF2606KI1401-04--503(6/13)</t>
  </si>
  <si>
    <t>MF2606IH3396-08--260(6/13)</t>
  </si>
  <si>
    <t>S2G 26 TEX(71039/AD-63336/63335)</t>
  </si>
  <si>
    <t>MF2606HP7088-01--77(6/13)</t>
  </si>
  <si>
    <t>MF2606KK0666-01--127(6/13)</t>
  </si>
  <si>
    <t>MF2606KK2872-01--52(6/13)</t>
  </si>
  <si>
    <t>MF2606KK2872-03--179(6/13)</t>
  </si>
  <si>
    <t>S2G 26 LEATHER(71039/AD-63336/63335)</t>
  </si>
  <si>
    <t>MF2606HQ5054-02--113(6/13)</t>
  </si>
  <si>
    <t>MF2606HQ5054-03--110(6/13)</t>
  </si>
  <si>
    <t>MF2606HQ5054-04--240(6/13)</t>
  </si>
  <si>
    <t>MF2606HQ5054-06--328(6/13)</t>
  </si>
  <si>
    <t>MF2606HQ5054-07--253(6/13)</t>
  </si>
  <si>
    <t>MF2606HQ5054-10--428(6/13)</t>
  </si>
  <si>
    <t>MF2606HQ5054-11--451(6/13)</t>
  </si>
  <si>
    <t>MF2606HQ5054-12--544(6/13)</t>
  </si>
  <si>
    <t>MF2606HQ5054-14--96(6/13)</t>
  </si>
  <si>
    <t>MF2606JQ9311-03--1199(6/13)</t>
  </si>
  <si>
    <t>MF2606JQ9311-04--50(6/13)</t>
  </si>
  <si>
    <t>MF2606JQ9311-05--371(6/13)</t>
  </si>
  <si>
    <t>MF2606KK2871-01--72(6/13)</t>
  </si>
  <si>
    <t>MF2606KK2871-02--52(6/13)</t>
  </si>
  <si>
    <t>MF2606KK2871-03--318(6/13)</t>
  </si>
  <si>
    <t>S2G 26 BOA(71040/AD-63336/63349)</t>
  </si>
  <si>
    <t>MF2606JQ3463-01--251(6/13)</t>
  </si>
  <si>
    <t>MF2606JQ3463-02--816(6/13)</t>
  </si>
  <si>
    <t>MF2606JQ3463-04--515(6/13)</t>
  </si>
  <si>
    <t>MF2606JQ3463-05--385(6/13)</t>
  </si>
  <si>
    <t>MF2606KK2868-01--321(6/13)</t>
  </si>
  <si>
    <t>MF2606KK2868-02--211(6/13)</t>
  </si>
  <si>
    <t>MF2606KK2868-04--403(6/13)</t>
  </si>
  <si>
    <t>MF2606KK2868-05--262(6/13)</t>
  </si>
  <si>
    <t>MF2606KK2868-06--402(6/13)</t>
  </si>
  <si>
    <t>MF2606KK2869-01--30(6/13)</t>
  </si>
  <si>
    <t>W GAZELLE GOLF(41TUR/AD-66068/66067)</t>
  </si>
  <si>
    <t>W S2G 26 LEATHER(72010/AD-63336/63335)</t>
  </si>
  <si>
    <t>MF2606KK2864-01--138(6/13)</t>
  </si>
  <si>
    <t>MF2606KK2864-02--20(6/13)</t>
  </si>
  <si>
    <t>MF2606KK2864-03--64(6/13)</t>
  </si>
  <si>
    <t>MF2606KK2864-04--129(6/13)</t>
  </si>
  <si>
    <t>MF2606KK2864-05--197(6/13)</t>
  </si>
  <si>
    <t>MF2606KK2865-01--133(6/13)</t>
  </si>
  <si>
    <t>MF2606KK2865-02--197(6/13)</t>
  </si>
  <si>
    <t>MF2606KK2865-03--65(6/13)</t>
  </si>
  <si>
    <t>MF2606HP7087-01--229(6/28)</t>
  </si>
  <si>
    <t>MF2606HP7087-02--232(6/28)</t>
  </si>
  <si>
    <t>MF2606HP7087-03--427(6/28)</t>
  </si>
  <si>
    <t>MF2606HQ5054-01--70(6/28)</t>
  </si>
  <si>
    <t>MF2606HQ5054-05--338(6/28)</t>
  </si>
  <si>
    <t>MF2606HQ5054-08--402(6/28)</t>
  </si>
  <si>
    <t>MF2606HQ5054-09--160(6/28)</t>
  </si>
  <si>
    <t>MF2606HQ5054-13--208(6/28)</t>
  </si>
  <si>
    <t>MF2606JQ9311-01--191(6/28)</t>
  </si>
  <si>
    <t>MF2606JQ9311-02--261(6/28)</t>
  </si>
  <si>
    <t>TAEKWONDO MEI ELITE W(81034/AD-70659/70658)</t>
  </si>
  <si>
    <t>MF2606KK2572-02--300(6/13)</t>
  </si>
  <si>
    <t>MF2606KK2575-03--300(6/13)</t>
  </si>
  <si>
    <t>MF2606KK2575-04--300(6/13)</t>
  </si>
  <si>
    <t>MF2606KK2576-02--166(6/13)</t>
  </si>
  <si>
    <t>MF2606KK2576-03--9(6/13)</t>
  </si>
  <si>
    <t>MF2606KK2575-01--878(6/21)</t>
  </si>
  <si>
    <t>MF2606KK2575-05--300(6/21)</t>
  </si>
  <si>
    <t>MF2606KK2576-05--386(6/21)</t>
  </si>
  <si>
    <t>MF2606KK2576-06--139(6/21)</t>
  </si>
  <si>
    <t>MF2606KK2572-01--297(6/28)</t>
  </si>
  <si>
    <t>MF2606KK2572-03--700(6/28)</t>
  </si>
  <si>
    <t>MF2606KK2573-01--297(6/28)</t>
  </si>
  <si>
    <t>MF2606KK2573-02--670(6/28)</t>
  </si>
  <si>
    <t>MF2606KK2575-06--1(6/28)</t>
  </si>
  <si>
    <t>MF2606KK2576-01--117(6/28)</t>
  </si>
  <si>
    <t>MF2606KK2576-07--1(6/28)</t>
  </si>
  <si>
    <t>75双</t>
  </si>
  <si>
    <t>SPEZIAL GOLF(41TUR/AD-72024/72023)</t>
  </si>
  <si>
    <t>MF2606KJ0849-03--326(6/13)</t>
  </si>
  <si>
    <t>MF2606KJ0849-05--689(6/13)</t>
  </si>
  <si>
    <t>MF2606KJ0850-01--135(6/13)</t>
  </si>
  <si>
    <t>MF2606KJ0851-01--175(6/13)</t>
  </si>
  <si>
    <t>MF2606KJ0851-02--120(6/13)</t>
  </si>
  <si>
    <t>MF2606KJ0852-01--189(6/13)</t>
  </si>
  <si>
    <t>MF2606KJ0852-10--570(6/13)</t>
  </si>
  <si>
    <t>MF2606KJ0849-02--246(6/28)</t>
  </si>
  <si>
    <t>MF2606KJ0849-04--645(6/28)</t>
  </si>
  <si>
    <t>MF2606KJ0849-06--364(6/28)</t>
  </si>
  <si>
    <t>MF2606KJ0851-05--158(6/28)</t>
  </si>
  <si>
    <t>MF2606KJ0851-07--239(6/28)</t>
  </si>
  <si>
    <t>MF2606KJ0851-10--404(6/28)</t>
  </si>
  <si>
    <t>MF2606KJ0851-11--310(6/28)</t>
  </si>
  <si>
    <t>MF2606KJ0852-07--145(6/28)</t>
  </si>
  <si>
    <t>MF2606KJ0850-05--2(6/18)CMA 订单</t>
  </si>
  <si>
    <t>MF2606KJ0852-06--2(6/18)CMA 订单</t>
  </si>
  <si>
    <t>MF2606KJ0849-01--790(6/28)日本</t>
  </si>
  <si>
    <t>MF2606KJ0850-06--1507(6/28)日本</t>
  </si>
  <si>
    <t>MF2606KJ0851-06--1143(6/28)日本</t>
  </si>
  <si>
    <t>MF2606KJ0852-08--1612(6/28)日本</t>
  </si>
  <si>
    <t>135双</t>
  </si>
  <si>
    <t>MF2606KJ5260-01--568(6/13)</t>
  </si>
  <si>
    <t>MF2606KJ5261-01--608(6/13)</t>
  </si>
  <si>
    <t>MF2607KJ5260-01--628(7/5)</t>
  </si>
  <si>
    <t>MF2607KJ5260-02--600(7/5)</t>
  </si>
  <si>
    <t>MF2607KJ5261-02--400(7/5)</t>
  </si>
  <si>
    <t>130双</t>
  </si>
  <si>
    <t>TECH RESPONSE 3.0(WD) (71040/AD-07370/06964)</t>
  </si>
  <si>
    <t>MF2606GV6891-03--113(6/13)</t>
  </si>
  <si>
    <t>MF2606GV6893-03--113(6/13)</t>
  </si>
  <si>
    <t>MF2606GV6891-04--271(6/28)</t>
  </si>
  <si>
    <t>MF2606GV6891-05--578(6/28)</t>
  </si>
  <si>
    <t>TECH RESPONSE SL 3(WD)(71040/AD-27560/06964)</t>
  </si>
  <si>
    <t>MF2605GV6897-04--2191(6/13)</t>
  </si>
  <si>
    <t>MF2606GV6897-01--291(6/28)</t>
  </si>
  <si>
    <t>MF2606GV6897-02--334(6/28)</t>
  </si>
  <si>
    <t>MF2606GV6897-03--152(6/28)</t>
  </si>
  <si>
    <t>MF2606GV6897-04--778(6/28)</t>
  </si>
  <si>
    <t>MF2606GV6898-01--522(6/28)</t>
  </si>
  <si>
    <t>TECH RESPONSE SL3 (71039/AD-27560/06964)</t>
  </si>
  <si>
    <t>W TECH RESPONSE SL3(72010/AD-27560/06964)</t>
  </si>
  <si>
    <t>MF2606GV6900-01--460(6/28)</t>
  </si>
  <si>
    <t>MF2606GV6900-02--363(6/28)</t>
  </si>
  <si>
    <t>W TECH RESPONSE 3.0(72010/AD-07370/06964)</t>
  </si>
  <si>
    <t>MF2606HQ1198-01--651(6/28)</t>
  </si>
  <si>
    <t>TECH RESPONSE 3.0(71039/AD-07370/06964)</t>
  </si>
  <si>
    <t>MF2606GV6889-01--386(6/28)</t>
  </si>
  <si>
    <t>MF2606GV6889-02--472(6/28)</t>
  </si>
  <si>
    <t>145双</t>
  </si>
  <si>
    <t>MF2606JQ9311-06--102(6/12)</t>
  </si>
  <si>
    <t>70双</t>
  </si>
  <si>
    <t>TRAXION RESPONSE SL(71039/AD-27560/06964)</t>
  </si>
  <si>
    <t>MF2606IH2249-01--300(6/13)</t>
  </si>
  <si>
    <t>MF2606IH2248-01--600(6/28)</t>
  </si>
  <si>
    <t>MF2606IH2249-02--600(6/28)</t>
  </si>
  <si>
    <t>SAMBA(41TUR/AD-65878/65879)</t>
  </si>
  <si>
    <t>MF2606IH6000-11--1000(6/21)</t>
  </si>
  <si>
    <t>MF2606IH6000-01--957(6/28)</t>
  </si>
  <si>
    <t>MF2606IH6000-07--600(6/28)</t>
  </si>
  <si>
    <t>MF2606IH6000-13--420(6/28)</t>
  </si>
  <si>
    <t>MF2607IH6000-03--935(7/5)</t>
  </si>
  <si>
    <t>MF2607IH6000-04--309(7/5)</t>
  </si>
  <si>
    <t>MF2607IH6000-07--310(7/5)</t>
  </si>
  <si>
    <t>SAMBA J(93007/AD-66129/66130)</t>
  </si>
  <si>
    <t>MF2606IF1944-01--2089(6/13)</t>
  </si>
  <si>
    <t>MF2606IF1945-02--542(6/13)</t>
  </si>
  <si>
    <t>MF2606IF1945-01--752(6/28)</t>
  </si>
  <si>
    <t>GHOST SPRINT W(21010/AD-69148/69147)</t>
  </si>
  <si>
    <t>MF2606HQ7638-01--529(6/13)</t>
  </si>
  <si>
    <t>MF2606JS1067-02--600(6/13)</t>
  </si>
  <si>
    <t>MF2606JS1067-03--150(6/13)</t>
  </si>
  <si>
    <t>MF2606JS1067-04--190(6/13)</t>
  </si>
  <si>
    <t>MF2606JS1067-05--166(6/13)</t>
  </si>
  <si>
    <t>MF2606KI4563-01--25(6/13)</t>
  </si>
  <si>
    <t>MF2606KI4563-02--480(6/13)</t>
  </si>
  <si>
    <t>MF2606LA7682-01--172(6/13)</t>
  </si>
  <si>
    <t>MF2606LA7682-04--116(6/13)</t>
  </si>
  <si>
    <t>MF2606LA7683-03--111(6/13)</t>
  </si>
  <si>
    <t>MF2606LA7683-08--450(6/21)</t>
  </si>
  <si>
    <t>MF2606LA7683-09--571(6/21)</t>
  </si>
  <si>
    <t>MF2606JS1067-01--527(6/28)</t>
  </si>
  <si>
    <t>MF2606KI4563-03--377(6/28)</t>
  </si>
  <si>
    <t>MF2606LA7682-02--435(6/28)</t>
  </si>
  <si>
    <t>MF2606LA7682-05--305(6/28)</t>
  </si>
  <si>
    <t>MF2606LA7682-06--1(6/28)</t>
  </si>
  <si>
    <t>MF2606LA7682-07--25(6/28)</t>
  </si>
  <si>
    <t>MF2606LA7682-08--163(6/28)</t>
  </si>
  <si>
    <t>MF2606LA7682-09--566(6/28)</t>
  </si>
  <si>
    <t>MF2606LA7683-02--380(6/28)</t>
  </si>
  <si>
    <t>MF2606LA7683-05--110(6/28)</t>
  </si>
  <si>
    <t>MF2606LA7683-07--293(6/28)</t>
  </si>
  <si>
    <t>MF2606LA7683-11--163(6/28)</t>
  </si>
  <si>
    <t>MF2606LA7683-12--325(6/28)</t>
  </si>
  <si>
    <t>MF2606LA7683-13--25(6/28)</t>
  </si>
  <si>
    <t>MF2607LA7682-02--455(7/5)</t>
  </si>
  <si>
    <t>MF2607LA7682-08--343(7/5)</t>
  </si>
  <si>
    <t>MF2607LA7682-10--124(7/5)</t>
  </si>
  <si>
    <t>MF2607LA7683-02--525(7/5)</t>
  </si>
  <si>
    <t>MF2607LA7683-05--319(7/5)</t>
  </si>
  <si>
    <t>MF2607LA7683-06--100(7/5)</t>
  </si>
  <si>
    <t>MF2607LA7683-08--678(7/5)</t>
  </si>
  <si>
    <t>MF2607LA7682-12--4739(7/5)日本</t>
  </si>
  <si>
    <t>MF2607LA7683-09--5005(7/5)日本</t>
  </si>
  <si>
    <t>TOKYO W(41TUR/AD-68188)</t>
  </si>
  <si>
    <t>MF2606JI0183-01--480(6/13)</t>
  </si>
  <si>
    <t>MF2606KJ7510-01--300(6/13)</t>
  </si>
  <si>
    <t>MF2606KJ7510-06--647(6/13)</t>
  </si>
  <si>
    <t>MF2607IH3994-01--236(7/5)</t>
  </si>
  <si>
    <t>MF2607IH3994-02--774(7/5)</t>
  </si>
  <si>
    <t>MF2607IH3994-03--167(7/5)</t>
  </si>
  <si>
    <t>MF2607JI0182-02--322(7/5)</t>
  </si>
  <si>
    <t>MF2607KI3584-01--2000(7/5)</t>
  </si>
  <si>
    <t>TOKYO MJ W(41TUR/AD-68188)</t>
  </si>
  <si>
    <t>MF2606KJ5221-01--698(6/28)</t>
  </si>
  <si>
    <t>MF2606KJ7542-02--330(6/13)</t>
  </si>
  <si>
    <t>MF2606KJ7543-02--563(6/13)</t>
  </si>
  <si>
    <t>MF2606KK0030-01--493(6/13)</t>
  </si>
  <si>
    <t>MF2606KK0031-03--589(6/13)</t>
  </si>
  <si>
    <t>MF2606KK0036-04--661(6/13)</t>
  </si>
  <si>
    <t>MF2606KK0036-05--327(6/13)</t>
  </si>
  <si>
    <t>MF2606KK0036-06--1036(6/13)</t>
  </si>
  <si>
    <t>MF2606KK0037-02--255(6/13)</t>
  </si>
  <si>
    <t>MF2606KK0037-03--107(6/13)</t>
  </si>
  <si>
    <t>MF2606KK0037-05--295(6/13)</t>
  </si>
  <si>
    <t>MF2606KK0037-06--174(6/13)</t>
  </si>
  <si>
    <t>MF2606KK2621-01--120(6/13)</t>
  </si>
  <si>
    <t>MF2606KK2621-02--498(6/13)</t>
  </si>
  <si>
    <t>MF2606KK2621-03--336(6/13)</t>
  </si>
  <si>
    <t>MF2606KK2621-04--100(6/13)</t>
  </si>
  <si>
    <t>MF2606KK2621-06--604(6/13)</t>
  </si>
  <si>
    <t>MF2606KK2621-07--800(6/13)</t>
  </si>
  <si>
    <t>MF2606KK2621-10--370(6/13)</t>
  </si>
  <si>
    <t>MF2606KJ7543-03--710(6/21)</t>
  </si>
  <si>
    <t>MF2606KJ7543-04--1860(6/21)</t>
  </si>
  <si>
    <t>MF2606KJ7543-05--640(6/21)</t>
  </si>
  <si>
    <t>MF2606KK0036-02--440(6/21)</t>
  </si>
  <si>
    <t>MF2606KK0036-07--373(6/21)</t>
  </si>
  <si>
    <t>MF2606KK0036-08--472(6/21)</t>
  </si>
  <si>
    <t>MF2606KK0037-09--1640(6/21)</t>
  </si>
  <si>
    <t>MF2606KK2621-05--239(6/21)</t>
  </si>
  <si>
    <t>MF2606KK2621-09--710(6/21)</t>
  </si>
  <si>
    <t>MF2606KJ7542-01--150(6/28)</t>
  </si>
  <si>
    <t>MF2606KJ7543-07--1(6/28)</t>
  </si>
  <si>
    <t>MF2606KK0031-01--105(6/28)</t>
  </si>
  <si>
    <t>MF2606KK0037-01--2(6/28)</t>
  </si>
  <si>
    <t>MF2606KK0037-04--337(6/28)</t>
  </si>
  <si>
    <t>MF2606KK0037-10--471(6/28)</t>
  </si>
  <si>
    <t>MF2607KJ7544-01--638(7/5)</t>
  </si>
  <si>
    <t>MF2607KJ7551-03--1008(7/5)</t>
  </si>
  <si>
    <t>MF2607KJ7551-04--100(7/5)</t>
  </si>
  <si>
    <t>MF2607KJ7552-04--975(7/5)</t>
  </si>
  <si>
    <t>MF2607KJ7552-05--686(7/5)</t>
  </si>
  <si>
    <t>S2G VENT(71039/AD-63336/63335)</t>
  </si>
  <si>
    <t>MF2606KI8398-01--179(6/13)</t>
  </si>
  <si>
    <t>MF2606KI8398-02--514(6/13)</t>
  </si>
  <si>
    <t>MF2606KI8398-03--510(6/13)</t>
  </si>
  <si>
    <t>W S2G 26 TEX(72010/AD-63336/63335)</t>
  </si>
  <si>
    <t>MF2606JQ3563-01--60(6/13)</t>
  </si>
  <si>
    <t>MF2606KK2862-01--62(6/13)</t>
  </si>
  <si>
    <t>MF2606JR1879-01--189(6/28)</t>
  </si>
  <si>
    <t>MF2606KI1392-01--87(6/28)</t>
  </si>
  <si>
    <t>MF2606KI1392-02--280(6/28)</t>
  </si>
  <si>
    <t>MF2606KI1392-03--740(6/28)</t>
  </si>
  <si>
    <t>MF2606JQ3463-06--390(6/28)</t>
  </si>
  <si>
    <t>MF2606KK2868-07--390(6/28)</t>
  </si>
  <si>
    <t>MF2606JQ3463-03--917(6/28)日本</t>
  </si>
  <si>
    <t>W S2G 26 BOA(72010/AD-63336/63335)</t>
  </si>
  <si>
    <t>MF2606KK2866-01--236(6/13)</t>
  </si>
  <si>
    <t>MF2606KK2866-02--20(6/13)</t>
  </si>
  <si>
    <t>MF2606KK2866-03--408(6/13)</t>
  </si>
  <si>
    <t>MF2606KK2866-04--120(6/13)</t>
  </si>
  <si>
    <t>MF2606KK2867-01--20(6/13)</t>
  </si>
  <si>
    <t>MF2606KK2867-02--42(6/13)</t>
  </si>
  <si>
    <t>MF2606KK2866-05--300(6/28)</t>
  </si>
  <si>
    <t>W S2G VENT（72010/AD-63336/63335)</t>
  </si>
  <si>
    <t>MF2606KI8402-02--1716(6/13)</t>
  </si>
  <si>
    <t>MF2606KI8401-01--1200(6/28)</t>
  </si>
  <si>
    <t>MF2606KI8402-01--768(6/28)</t>
  </si>
  <si>
    <t>MF2606JQ3560-01--169(6/28)</t>
  </si>
  <si>
    <t>MF2606JQ3560-02--345(6/28)</t>
  </si>
  <si>
    <t>MF2606JQ3560-03--430(6/28)</t>
  </si>
  <si>
    <t>MF2606JQ3560-04--114(6/28)</t>
  </si>
  <si>
    <t>MF2606JQ3560-05--145(6/28)</t>
  </si>
  <si>
    <t>MF2606LA3614-02--452(6/13)</t>
  </si>
  <si>
    <t>MF2606LA3614-03--253(6/13)</t>
  </si>
  <si>
    <t>MF2606LA3614-01--204(6/13)日本</t>
  </si>
  <si>
    <t>adidas F50 ADIFRAME(41TUR/AD-70970/70970-01)</t>
  </si>
  <si>
    <t>MF2607KH6569-01--402(6/30)</t>
  </si>
  <si>
    <t>MF2607KH6570-01--402(6/30)</t>
  </si>
  <si>
    <t>BB F50 GHOST SPRINT(21010/AD-69148/69147)</t>
  </si>
  <si>
    <t>MF2606HP4218-02--12(6/28)</t>
  </si>
  <si>
    <t>MF2606HP4218-01--160(6/28)中国</t>
  </si>
  <si>
    <t>MF2606KH8086-01--147(6/13)</t>
  </si>
  <si>
    <t>MF2606LB5626-02--272(6/13)</t>
  </si>
  <si>
    <t>MF2605LB5626-18--35(6/19)</t>
  </si>
  <si>
    <t>MF2606KH8086-02--19(6/28)</t>
  </si>
  <si>
    <t>MEGARIDE F50(21032/AD-71195/71196)</t>
  </si>
  <si>
    <t>MF2606KI3647-01--396(6/13)</t>
  </si>
  <si>
    <t>MF2606KI4714-01--184(6/13)</t>
  </si>
  <si>
    <t>MF2606KI4715-01--10(6/13)</t>
  </si>
  <si>
    <t>MF2606KI4718-02--305(6/13)</t>
  </si>
  <si>
    <t>MF2606KI4740-02--471(6/13)</t>
  </si>
  <si>
    <t>MF2606KI4745-01--732(6/13)</t>
  </si>
  <si>
    <t>MF2606KI4718-01--266(6/21)</t>
  </si>
  <si>
    <t>MF2606LB8409-01--640(6/21)</t>
  </si>
  <si>
    <t>MEGARIDE F50 PEACHES(21032/AD-71196/71195)</t>
  </si>
  <si>
    <t>MF2606KH8020-01--700(6/21)</t>
  </si>
  <si>
    <t>MF2606KH8147-01--500(6/21)</t>
  </si>
  <si>
    <t>MF2606HQ9343-01--319(6/28)</t>
  </si>
  <si>
    <t>MF2606KI4719-01--250(6/28)</t>
  </si>
  <si>
    <t>MF2606LB8409-04--540(6/28)</t>
  </si>
  <si>
    <t>MF2607LB8409-01--195(7/5)</t>
  </si>
  <si>
    <t>MF2607LB8409-02--368(7/5)</t>
  </si>
  <si>
    <t>MF2607LB8409-04--380(7/5)</t>
  </si>
  <si>
    <t>MF2606KI4719-02--324(6/28)日本</t>
  </si>
  <si>
    <t>120双</t>
  </si>
  <si>
    <t>MEGARIDE(21010/AD-65736/65737)</t>
  </si>
  <si>
    <t>MF2606JH5523-01--620(6/13)</t>
  </si>
  <si>
    <t>MF2606KH9590-05--249(6/13)</t>
  </si>
  <si>
    <t>MEGA GHOSTRIDE W(21010/AD-65736/65737)</t>
  </si>
  <si>
    <t>MF2606KI4673-01--148(6/13)</t>
  </si>
  <si>
    <t>MC70 FB SL 26(71039/AD-69650/69647)</t>
  </si>
  <si>
    <t>MF2606KI0820-01--108(6/21)中国</t>
  </si>
  <si>
    <t>MC70 SPK(71039/AD-69648/69647)</t>
  </si>
  <si>
    <t>MF2606JR1896-01--292(6/28)</t>
  </si>
  <si>
    <t>GHOST SPRINT BOOT W(21010/69148/69147)</t>
  </si>
  <si>
    <t>MF2606KI8144-04--1(6/28)</t>
  </si>
  <si>
    <t>MF2606KI8143-01--500(6/28)中国</t>
  </si>
  <si>
    <t>GHOST MOTO MID W(21010/AD-69148/69147)</t>
  </si>
  <si>
    <t>MF2606KI4562-04--16(6/28)</t>
  </si>
  <si>
    <t>GHOST MOTO LOW W(21010/AD-69148/69147)</t>
  </si>
  <si>
    <t>MF2606KI4566-10--32(6/28)</t>
  </si>
  <si>
    <t>GHOST SPRINT BALLET W(21010/AD-69148-69147)</t>
  </si>
  <si>
    <t>MF2606KI8143-02--368(6/21)中国</t>
  </si>
  <si>
    <t>MF2606KI8144-01--837(6/21)中国</t>
  </si>
  <si>
    <t>MF2606KI4562-01--160(6/13)</t>
  </si>
  <si>
    <t>MF2606KI4562-03--19(6/13)</t>
  </si>
  <si>
    <t>MF2606KI4562-05--1317(6/13)</t>
  </si>
  <si>
    <t>MF2606KI4562-06--220(6/21)</t>
  </si>
  <si>
    <t>MF2606KI4562-02--2(6/18)CMA 订单</t>
  </si>
  <si>
    <t>MF2606KI4566-03--110(6/13)</t>
  </si>
  <si>
    <t>MF2606KI4566-04--326(6/13)</t>
  </si>
  <si>
    <t>MF2606KI4566-05--250(6/13)</t>
  </si>
  <si>
    <t>MF2606KI4566-06--9(6/13)</t>
  </si>
  <si>
    <t>MF2606KI4566-07--199(6/13)</t>
  </si>
  <si>
    <t>MF2606KI4566-09--100(6/13)</t>
  </si>
  <si>
    <t>MF2606KI4566-08--245(6/21)</t>
  </si>
  <si>
    <t>MF2607KI4566-03--306(7/5)</t>
  </si>
  <si>
    <t>MF2606KI4566-01--2(6/18)CMA 订单</t>
  </si>
  <si>
    <t>MF2606KI4566-02--136(6/13)印度</t>
  </si>
  <si>
    <t>MF2606HQ7636-01--127(6/13)</t>
  </si>
  <si>
    <t>MF2606HQ7636-02--510(6/13)</t>
  </si>
  <si>
    <t>MF2606KI0435-01--650(6/13)</t>
  </si>
  <si>
    <t>MF2606KI0435-03--406(6/13)</t>
  </si>
  <si>
    <t>MF2606KI0435-05--250(6/13)</t>
  </si>
  <si>
    <t>MF2606KI0435-06--178(6/13)</t>
  </si>
  <si>
    <t>MF2606KI0435-07--700(6/13)</t>
  </si>
  <si>
    <t>MF2606KI0436-01--830(6/13)</t>
  </si>
  <si>
    <t>MF2606KI0436-02--340(6/13)</t>
  </si>
  <si>
    <t>MF2606KI0436-03--250(6/13)</t>
  </si>
  <si>
    <t>MF2606KI0436-04--150(6/13)</t>
  </si>
  <si>
    <t>MF2606KI0436-05--212(6/13)</t>
  </si>
  <si>
    <t>MF2606KI0436-06--766(6/13)</t>
  </si>
  <si>
    <t>MF2606KI0436-08--348(6/13)</t>
  </si>
  <si>
    <t>MF2606KI0436-09--560(6/13)</t>
  </si>
  <si>
    <t>MF2606KI7739-01--154(6/13)</t>
  </si>
  <si>
    <t>MF2606KI7739-02--120(6/13)</t>
  </si>
  <si>
    <t>MF2606KI7740-01--216(6/13)</t>
  </si>
  <si>
    <t>MF2606HQ7637-01--1(6/28)</t>
  </si>
  <si>
    <t>MF2606KI0436-10--595(6/28)</t>
  </si>
  <si>
    <t>MF2606KI7739-03--579(6/28)</t>
  </si>
  <si>
    <t>MF2606KI7740-02--268(6/28)</t>
  </si>
  <si>
    <t>MF2607KI0436-01--524(7/5)</t>
  </si>
  <si>
    <t>MF2606JQ6439-02--13(6/13)</t>
  </si>
  <si>
    <t>MF2606KI4568-01--610(6/13)</t>
  </si>
  <si>
    <t>MF2606KI4568-02--461(6/13)</t>
  </si>
  <si>
    <t>MF2606KI4568-03--319(6/13)</t>
  </si>
  <si>
    <t>MF2606KI4569-04--306(6/13)</t>
  </si>
  <si>
    <t>MF2606KI4569-05--609(6/13)</t>
  </si>
  <si>
    <t>MF2606KI4569-07--112(6/13)</t>
  </si>
  <si>
    <t>MF2606JQ6439-01--291(6/28)</t>
  </si>
  <si>
    <t>MF2606KI4569-01--13(6/28)</t>
  </si>
  <si>
    <t>MF2606KI4569-02--61(6/28)</t>
  </si>
  <si>
    <t>MF2606KI4569-08--321(6/28)</t>
  </si>
  <si>
    <t>MF2606KI4569-09--410(6/28)</t>
  </si>
  <si>
    <t>MF2606KI4571-01--140(6/28)</t>
  </si>
  <si>
    <t>MF2606KI4571-02--140(6/28)</t>
  </si>
  <si>
    <t>MF2606KI4572-01--140(6/28)</t>
  </si>
  <si>
    <t>MF2606KJ0644-01--378(6/28)</t>
  </si>
  <si>
    <t>MF2606KJ0646-01--405(6/28)</t>
  </si>
  <si>
    <t>MF2607KI4569-02--115(7/5)</t>
  </si>
  <si>
    <t>MF2607KI4569-04--104(7/5)</t>
  </si>
  <si>
    <t>MF2607KI4569-06--555(7/5)</t>
  </si>
  <si>
    <t>MF2608KJ0645-01--411(7/5)</t>
  </si>
  <si>
    <t>MF2608KJ0645-02--551(7/5)</t>
  </si>
  <si>
    <t>MF2608KJ0645-03--381(7/5)</t>
  </si>
  <si>
    <t>MF2608KJ0645-04--2(6/21)CMA 订单</t>
  </si>
  <si>
    <t>MF2605KI4570-01--100(6/28)印度</t>
  </si>
  <si>
    <t>ADIPOWER 26(71039/AD-69605/71894)</t>
  </si>
  <si>
    <t>MF2606KJ3010-01--119(6/13)</t>
  </si>
  <si>
    <t>MF2606KJ3010-02--157(6/13)</t>
  </si>
  <si>
    <t>MF2606KJ3010-03--373(6/13)</t>
  </si>
  <si>
    <t>MF2606KJ3010-04--556(6/13)</t>
  </si>
  <si>
    <t>MF2606KK2836-01--205(6/28)</t>
  </si>
  <si>
    <t>MF2606KK2836-02--70(6/28)</t>
  </si>
  <si>
    <t>ADIPOWER 26 SL BOA(71040/AD-69575/69574)</t>
  </si>
  <si>
    <t>MF2606JS4138-01--56(6/13)</t>
  </si>
  <si>
    <t>MF2606KK2839-01--208(6/13)</t>
  </si>
  <si>
    <t>W ADIPOWER 26 SL BOA(72010/AD-69575/71894)</t>
  </si>
  <si>
    <t>MF2606KK2843-02--71(6/13)</t>
  </si>
  <si>
    <t>MF2606JP8385-01--349(6/28)</t>
  </si>
  <si>
    <t>MF2606KK2843-01--275(6/28)</t>
  </si>
  <si>
    <t>MF2606JS4138-02--321(6/28)</t>
  </si>
  <si>
    <t>MF2606JS4140-01--221(6/28)</t>
  </si>
  <si>
    <t>MF2606KK2839-02--275(6/28)</t>
  </si>
  <si>
    <t>ADIPOWER 26 SL(71039/AD-69575/71894)</t>
  </si>
  <si>
    <t>MF2606JP8394-01--248(6/28)</t>
  </si>
  <si>
    <t>MF2606JP8395-01--79(6/28)</t>
  </si>
  <si>
    <t>MF2606KK2838-01--379(6/28)</t>
  </si>
  <si>
    <t>adidas TAEKWONDO W(41TUR/AD-02491(N)/02491)</t>
  </si>
  <si>
    <t>MF2606KK2705-02--451(6/21)</t>
  </si>
  <si>
    <t>MF2606KK2705-03--300(6/28)</t>
  </si>
  <si>
    <t>MF2606KK2705-04--162(6/28)</t>
  </si>
  <si>
    <t>MF2606KK2705-05--110(6/28)</t>
  </si>
  <si>
    <t>MF2606KK4938-01--2049(6/28)</t>
  </si>
  <si>
    <t>SL 72 RS (STROBEL)(21001/AD-65744/65743)</t>
  </si>
  <si>
    <t>MF2606KH9648-01--415(6/13)</t>
  </si>
  <si>
    <t>MF2606KH9648-02--356(6/13)</t>
  </si>
  <si>
    <t>MF2606KH9648-03--460(6/13)</t>
  </si>
  <si>
    <t>SL 72 RS (21001/AD-65744/65743)</t>
  </si>
  <si>
    <t>MF2606KJ1674-06--108(6/13)</t>
  </si>
  <si>
    <t>MF2606KJ1674-08--356(6/13)</t>
  </si>
  <si>
    <t>MF2606KJ1674-10--573(6/13)</t>
  </si>
  <si>
    <t>MF2607KH9644-01--181(7/5)</t>
  </si>
  <si>
    <t>MF2605KJ1672-07--127(6/13)</t>
  </si>
  <si>
    <t>MF2605KJ1672-08--519(6/13)</t>
  </si>
  <si>
    <t>MF2606JI1281-01--16(6/13)</t>
  </si>
  <si>
    <t>MF2606JI1282-01--275(6/13)</t>
  </si>
  <si>
    <t>MF2606JI1282-02--714(6/13)</t>
  </si>
  <si>
    <t>MF2606JI1282-03--410(6/13)</t>
  </si>
  <si>
    <t>MF2606JI1282-04--585(6/13)</t>
  </si>
  <si>
    <t>MF2606KH9671-01--137(6/13)</t>
  </si>
  <si>
    <t>MF2606KH9672-02--645(6/13)</t>
  </si>
  <si>
    <t>MF2606KH9673-02--732(6/13)</t>
  </si>
  <si>
    <t>MF2606KH9673-03--672(6/13)</t>
  </si>
  <si>
    <t>MF2606KH9673-04--483(6/13)</t>
  </si>
  <si>
    <t>MF2606KH9673-07--789(6/13)</t>
  </si>
  <si>
    <t>MF2606KJ1672-01--212(6/13)</t>
  </si>
  <si>
    <t>MF2606KJ1672-02--310(6/13)</t>
  </si>
  <si>
    <t>MF2606KJ1672-05--746(6/13)</t>
  </si>
  <si>
    <t>MF2606KJ1674-01--122(6/13)</t>
  </si>
  <si>
    <t>MF2606KJ1674-02--232(6/13)</t>
  </si>
  <si>
    <t>MF2606KJ1674-03--358(6/13)</t>
  </si>
  <si>
    <t>MF2606KJ1674-05--354(6/13)</t>
  </si>
  <si>
    <t>MF2605KH9652-08--156(6/13)</t>
  </si>
  <si>
    <t>MF2605KH9653-09--1120(6/13)</t>
  </si>
  <si>
    <t>MF2605KH9653-10--1896(6/13)</t>
  </si>
  <si>
    <t>MF2605KH9653-11--890(6/13)</t>
  </si>
  <si>
    <t>MF2605KJ1669-03--320(6/13)</t>
  </si>
  <si>
    <t>MF2605KJ1669-04--316(6/13)</t>
  </si>
  <si>
    <t>MF2606KH9652-01--100(6/13)</t>
  </si>
  <si>
    <t>MF2606KH9652-02--151(6/13)</t>
  </si>
  <si>
    <t>MF2606KH9652-05--321(6/13)</t>
  </si>
  <si>
    <t>MF2606KH9653-02--100(6/13)</t>
  </si>
  <si>
    <t>MF2606KH9653-03--137(6/13)</t>
  </si>
  <si>
    <t>MF2606KH9656-01--152(6/13)</t>
  </si>
  <si>
    <t>MF2606KH9658-01--152(6/13)</t>
  </si>
  <si>
    <t>SL 72 RS EL I(93011 ;93012/AD-66418/66417)</t>
  </si>
  <si>
    <t>MF2606IH2978-01--336(6/13)</t>
  </si>
  <si>
    <t>MF2606IH2978-02--272(6/13)</t>
  </si>
  <si>
    <t>MF2606IH2978-03--119(6/13)</t>
  </si>
  <si>
    <t>MF2606JI3089-01--455(6/28)</t>
  </si>
  <si>
    <t>MF2606IH2982-01--260(6/12)</t>
  </si>
  <si>
    <t>MF2606JH9953-01--263(6/13)</t>
  </si>
  <si>
    <t>SL 72 OG W(41TUR/AD-19383/19377)</t>
  </si>
  <si>
    <t>MF2607KJ2282-01--420(7/5)</t>
  </si>
  <si>
    <t>MF2606KH9652-07--600(6/28)</t>
  </si>
  <si>
    <t>MF2606KH9653-01--995(6/28)</t>
  </si>
  <si>
    <t>MF2606KH9653-07--760(6/28)</t>
  </si>
  <si>
    <t>MF2606KH9673-01--243(6/28)</t>
  </si>
  <si>
    <t>MF2606KH9673-05--480(6/28)</t>
  </si>
  <si>
    <t>MF2606KH9673-06--912(6/28)</t>
  </si>
  <si>
    <t>MF2606KH9673-08--668(6/28)</t>
  </si>
  <si>
    <t>MF2606KJ1674-04--607(6/28)</t>
  </si>
  <si>
    <t>MF2606KJ1674-07--389(6/28)</t>
  </si>
  <si>
    <t>MF2606KJ1674-09--269(6/28)</t>
  </si>
  <si>
    <t>MF2606KJ1674-11--164(6/28)</t>
  </si>
  <si>
    <t>MF2606KJ1674-12--381(6/28)</t>
  </si>
  <si>
    <t>MF2606KJ1674-13--202(6/28)</t>
  </si>
  <si>
    <t>MF2607KJ1674-01--303(7/5)</t>
  </si>
  <si>
    <t>MF2607KH9653-04--630(7/5)</t>
  </si>
  <si>
    <t>MF2607JI1282-02--330(7/5)</t>
  </si>
  <si>
    <t>SL 72 RS J(21001/AD-65744/65743)</t>
  </si>
  <si>
    <t>MF2606KJ0690-02--376(6/21)</t>
  </si>
  <si>
    <t>MF2606KJ0690-03--264(6/21)</t>
  </si>
  <si>
    <t>MF2607KJ0690-01--412(7/5)</t>
  </si>
  <si>
    <t>MF2607KJ0690-03--300(7/5)</t>
  </si>
  <si>
    <t>MF2607KJ7404-01--300(7/5)</t>
  </si>
  <si>
    <t>SL 72 RS J(STROBEL)(21001/AD-65744/65743)</t>
  </si>
  <si>
    <t>MF2606KJ1667-01--121(6/21)</t>
  </si>
  <si>
    <t>MF2606KJ1666-03--307(6/28)</t>
  </si>
  <si>
    <t>MF2606KJ1666-04--303(6/28)</t>
  </si>
  <si>
    <t>MF2606KJ1666-05--300(6/28)</t>
  </si>
  <si>
    <t>MF2606KJ1666-06--765(6/28)</t>
  </si>
  <si>
    <t>MF2606KJ1667-02--353(6/28)</t>
  </si>
  <si>
    <t>MF2607KJ1666-01--419(7/5)</t>
  </si>
  <si>
    <t>MF2607KJ1666-02--345(7/5)</t>
  </si>
  <si>
    <t>MF2607KJ1669-01--396(7/5)</t>
  </si>
  <si>
    <t>MF2606KJ1672-03--558(6/28)</t>
  </si>
  <si>
    <t>MF2606KJ1672-04--202(6/28)</t>
  </si>
  <si>
    <t>MF2606KJ1672-06--236(6/28)</t>
  </si>
  <si>
    <t>MF2607KH9657-01--300(7/5)</t>
  </si>
  <si>
    <t>MF2606KJ8377-03--490(6/13)</t>
  </si>
  <si>
    <t>MF2606KJ8377-04--196(6/13)</t>
  </si>
  <si>
    <t>MF2606KJ8377-05--100(6/13)</t>
  </si>
  <si>
    <t>MF2606JR4790-01--311(6/28)</t>
  </si>
  <si>
    <t>MF2606KJ8377-01--324(6/28)</t>
  </si>
  <si>
    <t>MF2606KJ8377-02--1174(6/28)</t>
  </si>
  <si>
    <t>MF2607KJ8378-01--600(7/5)</t>
  </si>
  <si>
    <t>MF2606KK2852-01--125(6/28)</t>
  </si>
  <si>
    <t>MF2606JQ7755-01--2(6/18)CMA 订单</t>
  </si>
  <si>
    <t>MF2606KJ8229-01--238(6/28)日本</t>
  </si>
  <si>
    <t>MF2606KH8402-06--219(6/28)日本</t>
  </si>
  <si>
    <t>W RETROCROSS 25(41TUR/AD-06982/06981)</t>
  </si>
  <si>
    <t>MF2606KJ5771-01--120(6/28)</t>
  </si>
  <si>
    <t>MF2606KJ5771-02--84(6/28)</t>
  </si>
  <si>
    <t>MF2606KJ5771-03--201(6/28)</t>
  </si>
  <si>
    <t>MF2606JP8521-01-02--30-50(6/13)</t>
  </si>
  <si>
    <t>MF2606JP8521-03-04--54-84(6/13)</t>
  </si>
  <si>
    <t>MF2606IH3396-04-05--107-105(6/13)</t>
  </si>
  <si>
    <t>MF2606IH3396-06-07--266-125(6/13)</t>
  </si>
  <si>
    <t>R2C BOA(71039/AD-69615/63335)</t>
  </si>
  <si>
    <t>MF2606JQ1022-01--600(6/28)</t>
  </si>
  <si>
    <t>MF2606JQ1023-01--600(6/28)</t>
  </si>
  <si>
    <t>JR CODECHAOS BOA 27(72010/AD-18581/07199)</t>
  </si>
  <si>
    <t>MF2606KI5746-02--300(6/13)</t>
  </si>
  <si>
    <t>MF2606KI5747-01--300(6/13)</t>
  </si>
  <si>
    <t>MF2606KI5746-01--210(6/28)</t>
  </si>
  <si>
    <t>MF2606KI5746-03--701(6/28)</t>
  </si>
  <si>
    <t>MF2606KI5747-02--679(6/28)</t>
  </si>
  <si>
    <t>MF2606IG9016-01--280(6/13)</t>
  </si>
  <si>
    <t>MF2606IH3396-01-02--259-167(6/28)</t>
  </si>
  <si>
    <t>MF2606IH9978-01-02--114-393(6/28)</t>
  </si>
  <si>
    <t>MF2606KJ5770-01-02--279-419(6/28)</t>
  </si>
  <si>
    <t>CODECHAOS 27(71039/AD-71968/71967)</t>
  </si>
  <si>
    <t>MF2605KK0658-04--376(6/13)</t>
  </si>
  <si>
    <t>MF2605KK0658-05--299(6/13)</t>
  </si>
  <si>
    <t>MF2606KI1388-02--1389(6/13)</t>
  </si>
  <si>
    <t>MF2606KI1388-04--1441(6/13)</t>
  </si>
  <si>
    <t>MF2606KI5735-03--1130(6/13)</t>
  </si>
  <si>
    <t>CODECHAOS BOA 27(71039/AD-71971/71970)</t>
  </si>
  <si>
    <t>MF2605KI5754-02--2756(6/13)</t>
  </si>
  <si>
    <t>MF2606KI1390-01--578(6/13)</t>
  </si>
  <si>
    <t>MF2606KI5752-01--473(6/13)</t>
  </si>
  <si>
    <t>MF2606KI5753-01--116(6/13)</t>
  </si>
  <si>
    <t>W CODECHAOS BOA 27(72010/AD-71971/71970)</t>
  </si>
  <si>
    <t>MF2606KI1390-02--381(6/28)</t>
  </si>
  <si>
    <t>MF2606KI5753-02--862(6/28)</t>
  </si>
  <si>
    <t>MF2606KI1387-01--176(6/28)</t>
  </si>
  <si>
    <t>MF2606KI1387-03--1850(6/28)</t>
  </si>
  <si>
    <t>MF2606KI5738-01--2000(6/28)</t>
  </si>
  <si>
    <t>MF2606KI5739-02--5074(6/28)</t>
  </si>
  <si>
    <t>MF2606KI5740-02--881(6/28)</t>
  </si>
  <si>
    <t>MF2606KI5741-01--1475(6/28)</t>
  </si>
  <si>
    <t>MF2606KK0660-01--727(6/28)</t>
  </si>
  <si>
    <t>MF2605KI5738-02--6700(6/13)</t>
  </si>
  <si>
    <t>MF2606KI1387-02--2883(6/13)</t>
  </si>
  <si>
    <t>MF2606KI5738-02--1411(6/13)</t>
  </si>
  <si>
    <t>MF2606KI5739-01--219(6/13)</t>
  </si>
  <si>
    <t>MF2606KI5740-01--58(6/13)</t>
  </si>
  <si>
    <t>MF2606KI5741-02--173(6/13)</t>
  </si>
  <si>
    <t>60双</t>
  </si>
  <si>
    <t>MF2606KI1389-01--100(6/28)</t>
  </si>
  <si>
    <t>MF2606KI1389-02--400(6/28)</t>
  </si>
  <si>
    <t>MF2606KI1389-03--398(6/28)</t>
  </si>
  <si>
    <t>MF2606KI1389-04--141(6/28)</t>
  </si>
  <si>
    <t>MF2606KI1389-05--562(6/28)</t>
  </si>
  <si>
    <t>MF2606KI5750-01--221(6/28)日本</t>
  </si>
  <si>
    <t>MF2606KI5735-01--150(6/28)</t>
  </si>
  <si>
    <t>MF2606KI5735-02--1899(6/28)日本</t>
  </si>
  <si>
    <t>MF2606KI5734-01--324(6/28)</t>
  </si>
  <si>
    <t>MF2606KI5737-01--404(6/28)</t>
  </si>
  <si>
    <t>MF2606KI5737-02--661(6/28)</t>
  </si>
  <si>
    <t>MF2606KI1388-03--216(6/28)</t>
  </si>
  <si>
    <t>MF2606KI1388-01--603(6/28)日本</t>
  </si>
  <si>
    <t>MF2606KK0657-01--458(6/28)</t>
  </si>
  <si>
    <t>MF2606KK0657-02--643(6/28)</t>
  </si>
  <si>
    <t>MF2606KK0657-03--765(6/28)</t>
  </si>
  <si>
    <t>MF2606KK0657-04--234(6/28)</t>
  </si>
  <si>
    <t>MF2606KK0657-05--203(6/28)</t>
  </si>
  <si>
    <t>MF2606KK0658-01--299(6/28)</t>
  </si>
  <si>
    <t>ADISTAR XLG 2.0 W(21010/AD-72792/72793)</t>
  </si>
  <si>
    <t>MF2605KZ9161-07--355(6/13)</t>
  </si>
  <si>
    <t>MF2605KZ9162-02--125(6/13)</t>
  </si>
  <si>
    <t>MF2605KZ9162-04--1985(6/13)</t>
  </si>
  <si>
    <t>MF2605KZ9163-13--60(6/13)</t>
  </si>
  <si>
    <t>MF2606KZ9161-04--220(6/13)</t>
  </si>
  <si>
    <t>MF2606KZ9162-01--174(6/13)</t>
  </si>
  <si>
    <t>MF2606KZ9162-02--386(6/13)</t>
  </si>
  <si>
    <t>MF2606KZ9162-03--624(6/13)</t>
  </si>
  <si>
    <t>MF2606KZ9162-04--467(6/13)</t>
  </si>
  <si>
    <t>MF2606KZ9162-05--1038(6/13)</t>
  </si>
  <si>
    <t>MF2606KZ9163-02--430(6/13)</t>
  </si>
  <si>
    <t>MF2606KZ9163-03--156(6/13)</t>
  </si>
  <si>
    <t>MF2606KZ9163-04--108(6/13)</t>
  </si>
  <si>
    <t>MF2606KZ9163-09--105(6/13)</t>
  </si>
  <si>
    <t>MF2606KZ9163-07--298(6/21)</t>
  </si>
  <si>
    <t>MF2605KZ9162-03--618(6/28)</t>
  </si>
  <si>
    <t>MF2605KZ9162-05--118(6/28)</t>
  </si>
  <si>
    <t>MF2605KZ9162-06--794(6/28)</t>
  </si>
  <si>
    <t>MF2605KZ9162-07--500(6/28)</t>
  </si>
  <si>
    <t>MF2605KZ9162-08--142(6/28)</t>
  </si>
  <si>
    <t>MF2605KZ9162-09--120(6/28)</t>
  </si>
  <si>
    <t>MF2605KZ9162-10--358(6/28)</t>
  </si>
  <si>
    <t>MF2605KZ9162-11--486(6/28)</t>
  </si>
  <si>
    <t>MF2605KZ9162-12--501(6/28)</t>
  </si>
  <si>
    <t>MF2606KZ9161-01--335(6/28)</t>
  </si>
  <si>
    <t>MF2606KZ9162-06--1(6/28)</t>
  </si>
  <si>
    <t>ADISTAR XLG 2.0(21010/AD-72792/72793)</t>
    <phoneticPr fontId="48" type="noConversion"/>
  </si>
  <si>
    <t>MF2606HQ7468-02--100(6/13)</t>
  </si>
  <si>
    <t>MF2606HQ7468-04--5791(6/13)</t>
  </si>
  <si>
    <t>MF2606HQ7468-05--300(6/21)</t>
  </si>
  <si>
    <t>MF2606HQ7468-06--2100(6/21)</t>
  </si>
  <si>
    <t>MF2605KJ7895-08--1491(6/28)</t>
  </si>
  <si>
    <t>MF2605KJ7895-09--6810(6/28)</t>
  </si>
  <si>
    <t>MF2605KJ7895-10--2171(6/28)</t>
  </si>
  <si>
    <t>MF2605KJ7895-11--395(6/28)</t>
  </si>
  <si>
    <t>MF2606KJ7895-01--101(6/28)</t>
  </si>
  <si>
    <t>MF2606KJ7895-02--279(6/28)</t>
  </si>
  <si>
    <t>MF2607KJ7895-02--102(7/5)</t>
  </si>
  <si>
    <t>MF2607KJ7895-03--336(7/5)</t>
  </si>
  <si>
    <t>MF2607KJ7895-04--301(7/5)</t>
  </si>
  <si>
    <t>MF2607KJ7895-05--100(7/5)</t>
  </si>
  <si>
    <t>MF2607KJ7895-06--1055(7/5)</t>
  </si>
  <si>
    <t>MF2607KJ7895-11--837(7/5)</t>
  </si>
  <si>
    <t>MF2607KJ7895-12--422(7/5)</t>
  </si>
  <si>
    <t>ADISTAR XLG 2.0 J(21010/AD-72792/72793)</t>
    <phoneticPr fontId="49" type="noConversion"/>
  </si>
  <si>
    <t>MF2606KJ7892-05--25(6/13)</t>
  </si>
  <si>
    <t>MF2605KJ7892-11--100(6/28)</t>
  </si>
  <si>
    <t>MF2605KJ7892-15--228(6/28)</t>
  </si>
  <si>
    <t>MF2606KJ7892-01--317(6/28)</t>
  </si>
  <si>
    <t>MF2606KJ7892-02--1600(6/28)</t>
  </si>
  <si>
    <t>MF2607KJ7892-04--1092(7/5)</t>
  </si>
  <si>
    <t>MF2607KJ7892-07--1008(7/5)</t>
  </si>
  <si>
    <t>MF2605KK4234-09--594(6/13)</t>
  </si>
  <si>
    <t>MF2605KK4234-10--300(6/13)</t>
  </si>
  <si>
    <t>MF2605KK4234-11--306(6/13)</t>
  </si>
  <si>
    <t>MF2605KK4234-12--543(6/13)</t>
  </si>
  <si>
    <t>MF2606KJ7845-03--600(6/13)</t>
  </si>
  <si>
    <t>MF2605KK4234-07--463(6/28)</t>
  </si>
  <si>
    <t>MF2605KK4234-08--600(6/28)</t>
  </si>
  <si>
    <t>MF2605KK4234-13--600(6/28)</t>
  </si>
  <si>
    <t>MF2607KK4234-03--1500(7/5)</t>
  </si>
  <si>
    <t>MF2607KK4234-04--1650(7/5)</t>
  </si>
  <si>
    <t>MF2606KJ7844-01--800(6/13)</t>
  </si>
  <si>
    <t>ADISTAR XLG 2.0(21010/AD-72792/72793)</t>
  </si>
  <si>
    <t>MF2606KZ9155-04--300(6/21)</t>
  </si>
  <si>
    <t>MF2606KZ9155-05--1836(6/21)</t>
  </si>
  <si>
    <t>MF2606KZ9155-06--450(6/21)</t>
  </si>
  <si>
    <t>MF2606KZ9155-07--750(6/21)</t>
  </si>
  <si>
    <t>MF2606KZ9155-08--2070(6/21)</t>
  </si>
  <si>
    <t>MF2606KZ9155-09--300(6/21)</t>
  </si>
  <si>
    <t>MF2605KZ9155-18--322(6/28)</t>
  </si>
  <si>
    <t>MF2605KZ9155-19--327(6/28)</t>
  </si>
  <si>
    <t>MF2605KZ9155-20--2635(6/28)</t>
  </si>
  <si>
    <t>MF2605KZ9155-21--525(6/28)</t>
  </si>
  <si>
    <t>MF2606KZ9155-10--629(6/28)</t>
  </si>
  <si>
    <t>MF2606KZ9155-11--104(6/28)</t>
  </si>
  <si>
    <t>MF2606KZ9155-12--312(6/28)</t>
  </si>
  <si>
    <t>MF2606KZ9155-13--321(6/28)</t>
  </si>
  <si>
    <t>MF2607KZ9155-01--659(7/5)</t>
  </si>
  <si>
    <t>MF2606KK2904-01--65(6/13)</t>
  </si>
  <si>
    <t>MF2606KK2904-03--390(6/13)</t>
  </si>
  <si>
    <t>MF2606KK2904-08--107(6/13)</t>
  </si>
  <si>
    <t>MF2606KK2904-02--240(6/28)</t>
  </si>
  <si>
    <t>MF2606KK2904-04--393(6/28)</t>
  </si>
  <si>
    <t>MF2606KK2904-05--135(6/28)</t>
  </si>
  <si>
    <t>MF2606KK2904-06--250(6/28)</t>
  </si>
  <si>
    <t>MF2606KK2904-07--282(6/28)</t>
  </si>
  <si>
    <t>MF2606KZ6449-04--840(6/13)</t>
  </si>
  <si>
    <t>MF2606KZ6449-03--720(6/21)</t>
  </si>
  <si>
    <t>MF2606KZ6449-06--1460(6/21)</t>
  </si>
  <si>
    <t>MF2605KZ6449-08--916(6/28)</t>
  </si>
  <si>
    <t>MF2605KZ6449-09--140(6/28)</t>
  </si>
  <si>
    <t>MF2606KZ6449-05--1250(6/28)</t>
  </si>
  <si>
    <t>MF2607KZ6449-02--710(7/5)</t>
  </si>
  <si>
    <t>MF2607KZ6449-03--2184(7/5)</t>
  </si>
  <si>
    <t>MF2607KZ6449-04--2016(7/5)</t>
  </si>
  <si>
    <t>ADISTAR XLG 2.0 J(21010/AD-72792/72793)</t>
  </si>
  <si>
    <t>MF2606KH7374-01--2274(6/21)</t>
  </si>
  <si>
    <t>MF2606KH7374-02--1602(6/21)</t>
  </si>
  <si>
    <t>MF2606KH7374-03--450(6/21)</t>
  </si>
  <si>
    <t>MF2606KH7374-04--378(6/21)</t>
  </si>
  <si>
    <t>MF2605KH7374-09--118(6/28)</t>
  </si>
  <si>
    <t>MF2606KJ7852-01--15(6/13)</t>
  </si>
  <si>
    <t>MF2606KJ7852-02--1248(6/13)</t>
  </si>
  <si>
    <t>MF2606KJ7852-03--928(6/13)</t>
  </si>
  <si>
    <t>MF2606KJ7852-05--302(6/13)</t>
  </si>
  <si>
    <t>MF2606KJ7852-06--575(6/13)</t>
  </si>
  <si>
    <t>MF2606KJ7853-02--15(6/13)</t>
  </si>
  <si>
    <t>MF2606KJ7853-03--311(6/13)</t>
  </si>
  <si>
    <t>MF2606KJ7853-05--324(6/13)</t>
  </si>
  <si>
    <t>MF2606KJ7853-06--575(6/21)</t>
  </si>
  <si>
    <t>MF2606KJ7852-04--336(6/28)</t>
  </si>
  <si>
    <t>MF2606KJ7853-04--1252(6/28)</t>
  </si>
  <si>
    <t>MF2607KJ7852-01--660(7/5)</t>
  </si>
  <si>
    <t>MF2607KJ7852-02--489(7/5)</t>
  </si>
  <si>
    <t>MF2607KJ7852-03--380(7/5)</t>
  </si>
  <si>
    <t>MF2607KJ7853-04--1026(7/5)</t>
  </si>
  <si>
    <t>MF2607KJ7853-05--425(7/5)</t>
  </si>
  <si>
    <t>MF2606KJ7853-01--2(6/26)CMA 订单</t>
  </si>
  <si>
    <t>MF2606LA0522-01--1(6/28)</t>
  </si>
  <si>
    <t xml:space="preserve">外包鞋面 </t>
  </si>
  <si>
    <t>MF2606KJ8229-02-03--138-46(6/13)</t>
  </si>
  <si>
    <t>MF2606KJ8229-04-05--25-63(6/13)</t>
  </si>
  <si>
    <t>MF2606KJ8229-06-07--36-99(6/13)</t>
  </si>
  <si>
    <t>MF2606KH8402-01-02--56-36(6/13)</t>
  </si>
  <si>
    <t>MF2606KH8402-03-04--148-121(6/13)</t>
  </si>
  <si>
    <t>MF2606KH8402-05-07--24-152(6/13)</t>
  </si>
  <si>
    <t>MF2607KI4569-01--253(7/13)</t>
  </si>
  <si>
    <t>MF2607KI4569-03--130(7/13)</t>
  </si>
  <si>
    <t>MF2606KJ1670-01--962(6/21)中国</t>
  </si>
  <si>
    <t xml:space="preserve">MF2606KI9862-01--5000(6/12) </t>
  </si>
  <si>
    <t xml:space="preserve">MF2606KI7558-02--300(6/12) </t>
  </si>
  <si>
    <t>MF2606KJ7510-05--572(6/28)</t>
  </si>
  <si>
    <t>MF2606JI0183-02--1599(6/28)</t>
  </si>
  <si>
    <t>MF2606JI0182-01--1823(6/28)</t>
  </si>
  <si>
    <t>MF2605LA7683-26--65(6/13)</t>
  </si>
  <si>
    <t>MF2605KZ6449-07--1670(6/28)</t>
  </si>
  <si>
    <t>MF2606KK2872-04--18(6/21)</t>
  </si>
  <si>
    <t>MF2606KJ7895-03--200(6/21)</t>
  </si>
  <si>
    <t>MF2606IH6000-03--17(6/13)</t>
  </si>
  <si>
    <t>MF2606IH6000-04--1063(6/13)</t>
  </si>
  <si>
    <t>MF2606IH6000-06--655(6/13)</t>
  </si>
  <si>
    <t>MF2606IH6000-14--911(6/13)</t>
  </si>
  <si>
    <t>MF2606IH6000-15--338(6/13)</t>
  </si>
  <si>
    <t>MF2606IH6001-01--4070(6/13)</t>
  </si>
  <si>
    <t>MF2606IH6001-03--30(6/13)</t>
  </si>
  <si>
    <t>MF2606IH6001-04--156(6/13)</t>
  </si>
  <si>
    <t>MF2606IH6001-08--977(6/13)</t>
  </si>
  <si>
    <t>MF2606IH6001-09--337(6/13)</t>
  </si>
  <si>
    <t>MF2606IH6001-11--5000(6/13)</t>
  </si>
  <si>
    <t>MF2606IH6000-12--5000(6/21)</t>
  </si>
  <si>
    <t>MF2606IH6001-10--1500(6/21)</t>
  </si>
  <si>
    <t>MF2606IH6000-05--316(6/13)日本</t>
  </si>
  <si>
    <t>MF2606IH6001-07--453(6/13)日本</t>
  </si>
  <si>
    <t>MF2605GV6894-03--2204(6/13)</t>
  </si>
  <si>
    <t>MF2606HQ5207-01--5921(6/28)日本</t>
  </si>
  <si>
    <t>MF2606HQ5209-01--4458(6/28)日本</t>
  </si>
  <si>
    <t>MF2606KK0908-01--140(6/28)</t>
  </si>
  <si>
    <t>MF2606KK0908-02--200(6/28)</t>
  </si>
  <si>
    <t>MF2606KK0909-01--110(6/28)</t>
  </si>
  <si>
    <t>MF2606KK0909-02--200(6/28)</t>
  </si>
  <si>
    <t>MF2606HQ7637-02--210(6/28)</t>
  </si>
  <si>
    <t>MF2606KI0435-08--598(6/28)</t>
  </si>
  <si>
    <t>MF2606KI0435-09--100(6/28)</t>
  </si>
  <si>
    <t>MF2606KI0436-12--406(6/28)</t>
  </si>
  <si>
    <t>MF2606KI7740-03--586(6/28)</t>
  </si>
  <si>
    <t>MF2606KZ7290-01--240(6/28)</t>
  </si>
  <si>
    <t>MF2606KZ7290-02--100(6/28)</t>
  </si>
  <si>
    <t>MF2606KZ7290-03--240(6/28)</t>
  </si>
  <si>
    <t>MF2606KZ7291-01--100(6/28)</t>
  </si>
  <si>
    <t>MF2606KZ7291-02--240(6/28)</t>
  </si>
  <si>
    <t>MF2606KZ7291-03--240(6/28)</t>
  </si>
  <si>
    <t>MF2606HQ9343-03--1(6/28)</t>
  </si>
  <si>
    <t>MF2606KI4715-02--321(6/28)</t>
  </si>
  <si>
    <t>MF2606KI4715-03--344(6/28)</t>
  </si>
  <si>
    <t>MF2606KI4715-04--240(6/28)</t>
  </si>
  <si>
    <t>MF2606KI4715-05--789(6/28)</t>
  </si>
  <si>
    <t>MF2606KI4715-06--240(6/28)</t>
  </si>
  <si>
    <t>MF2606KI4740-03--364(6/28)</t>
  </si>
  <si>
    <t>MF2606KI4740-05--100(6/28)</t>
  </si>
  <si>
    <t>MF2606KI4741-03--364(6/28)</t>
  </si>
  <si>
    <t>MF2606KI4742-01--355(6/28)</t>
  </si>
  <si>
    <t>MF2606KH9677-01--166(6/28)</t>
  </si>
  <si>
    <t>MF2606KH9677-02--309(6/28)</t>
  </si>
  <si>
    <t>MF2606KH9590-06--1267(6/28)</t>
  </si>
  <si>
    <t>MF2606KI4673-02--477(6/28)</t>
  </si>
  <si>
    <t>MF2606KI4673-03--102(6/28)</t>
  </si>
  <si>
    <t>MF2606KI4673-04--726(6/28)</t>
  </si>
  <si>
    <t>MF2606IG6049-03--2015(6/28)日本</t>
  </si>
  <si>
    <t>MF2606KI5241-04--1267(6/28)</t>
  </si>
  <si>
    <t>MF2606KI5241-05--486(6/28)</t>
  </si>
  <si>
    <t>MF2606KI5303-01--747(6/28)</t>
  </si>
  <si>
    <t>MF2606KK3015-04--432(6/28)</t>
  </si>
  <si>
    <t>MF2606KK3015-05--150(6/28)</t>
  </si>
  <si>
    <t>MF2606KK3021-03--260(6/28)</t>
  </si>
  <si>
    <t>MF2606KK3025-01--430(6/28)</t>
  </si>
  <si>
    <t>MF2606KK3026-01--432(6/28)</t>
  </si>
  <si>
    <t>MF2606KK3027-01--432(6/28)</t>
  </si>
  <si>
    <t>OZMILLEN(21404/AD-65019/65018)</t>
  </si>
  <si>
    <t>MF2606IH0874-01--300(6/28)</t>
  </si>
  <si>
    <t>MF2606IH0874-02--100(6/28)</t>
  </si>
  <si>
    <t>MF2606IH0874-03--200(6/28)</t>
  </si>
  <si>
    <t>MF2606JI2632-01--500(6/28)</t>
  </si>
  <si>
    <t>MF2606JI2633-01--500(6/28)</t>
  </si>
  <si>
    <t>MF2606JI2633-02--200(6/28)</t>
  </si>
  <si>
    <t>MF2606JI2633-03--500(6/28)</t>
  </si>
  <si>
    <t>MF2606KJ8229-08--118(6/21)</t>
  </si>
  <si>
    <t>MF2606G48060-08--65(6/28)</t>
  </si>
  <si>
    <t>MF2606IH6000-16--1348(6/28)</t>
  </si>
  <si>
    <t>MF2606IH6000-17--664(6/28)</t>
  </si>
  <si>
    <t>MF2606IH6001-12--3957(6/28)</t>
  </si>
  <si>
    <t>MF2606IF1944-02--2909(6/28)</t>
  </si>
  <si>
    <t>MF2606IF1944-03--496(6/28)</t>
  </si>
  <si>
    <t>MF2606IF1945-03--415(6/28)</t>
  </si>
  <si>
    <t>MF2606IF1945-04--1506(6/28)</t>
  </si>
  <si>
    <t>MF2606GV6894-02--1304(6/28)</t>
  </si>
  <si>
    <t>MF2606JS1067-06--200(6/28)</t>
  </si>
  <si>
    <t>MF2606JS1067-07--396(6/28)</t>
  </si>
  <si>
    <t>MF2606LA7682-10--366(6/28)</t>
  </si>
  <si>
    <t>MF2606HQ3330-01--321(6/28)</t>
  </si>
  <si>
    <t>MF2606HQ3330-02--540(6/28)</t>
  </si>
  <si>
    <t>MF2606HQ3330-03--102(6/28)</t>
  </si>
  <si>
    <t>MF2606HQ3330-04--500(6/28)</t>
  </si>
  <si>
    <t>MF2606HQ3330-05--1248(6/28)</t>
  </si>
  <si>
    <t>MF2606HQ3330-06--323(6/28)</t>
  </si>
  <si>
    <t>MF2606HQ3330-07--420(6/28)</t>
  </si>
  <si>
    <t>MF2606HQ3330-08--300(6/28)</t>
  </si>
  <si>
    <t>MF2606HQ3330-09--690(6/28)</t>
  </si>
  <si>
    <t>MF2606HQ3330-10--350(6/28)</t>
  </si>
  <si>
    <t>MF2606HQ3330-11--384(6/28)</t>
  </si>
  <si>
    <t>MF2606HQ3330-12--890(6/28)</t>
  </si>
  <si>
    <t>MF2606HQ3330-13--1707(6/28)</t>
  </si>
  <si>
    <t>MF2606KI4564-01--403(6/28)</t>
  </si>
  <si>
    <t>MF2606KJ0645-01--138(6/28)</t>
  </si>
  <si>
    <t>MF2606KJ0646-02--1175(6/28)</t>
  </si>
  <si>
    <t>MF2606LA4019-01--190(6/28)</t>
  </si>
  <si>
    <t>MF2606KK2523-01--310(6/28)</t>
  </si>
  <si>
    <t>MF2606KK2524-01--100(6/28)</t>
  </si>
  <si>
    <t>MF2606KK2572-04--300(6/28)</t>
  </si>
  <si>
    <t>MF2606KK2573-03--300(6/28)</t>
  </si>
  <si>
    <t>MF2606KK2575-07--342(6/28)</t>
  </si>
  <si>
    <t>MF2606HQ7583-01--121(6/28)</t>
  </si>
  <si>
    <t>MF2606IH1969-01--336(6/28)</t>
  </si>
  <si>
    <t>MF2606KH7849-01--111(6/28)</t>
  </si>
  <si>
    <t>MF2606KH7850-01--111(6/28)</t>
  </si>
  <si>
    <t>ADIDAS TAEKWONDO LACE W(41TURAD-69189/02491)</t>
  </si>
  <si>
    <t>MF2606KI3584-04--100(6/28)</t>
  </si>
  <si>
    <t>MF2606IH3991-01--442(6/28)</t>
  </si>
  <si>
    <t>MF2606JQ0597-02--620(6/28)</t>
  </si>
  <si>
    <t>MF2606JQ0597-04--100(6/28)</t>
  </si>
  <si>
    <t>MF2606JQ0598-01--620(6/28)</t>
  </si>
  <si>
    <t>MF2606JQ0597-01--4418(6/28)日本</t>
  </si>
  <si>
    <t>MF2606JQ0597-03--130(6/28)印度</t>
  </si>
  <si>
    <t>MF2606JQ0598-02--130(6/28)印度</t>
  </si>
  <si>
    <t>MF2606JQ0598-03--3852(6/28)日本</t>
  </si>
  <si>
    <t>MF2606HQ2887-01--300(6/28)</t>
  </si>
  <si>
    <t>MF2606HQ9512-01--598(6/28)</t>
  </si>
  <si>
    <t>MF2606KJ7499-01--331(6/28)</t>
  </si>
  <si>
    <t>MF2606KJ7511-01--764(6/28)</t>
  </si>
  <si>
    <t>MF2606KJ7511-02--505(6/28)</t>
  </si>
  <si>
    <t>MF2607KJ5428-02--2(7/4)CMA 订单</t>
  </si>
  <si>
    <t>MF2607KK2869-02--2(7/4)CMA 订单</t>
  </si>
  <si>
    <t>MF2607KI3584-08--1274(7/5)日本</t>
  </si>
  <si>
    <t>MF2607IH2247-02--2(7/4)CMA 订单</t>
  </si>
  <si>
    <t>MF2607IH2248-02--2(7/4)CMA 订单</t>
  </si>
  <si>
    <t>MF2607IH6000-10--700(7/5)</t>
  </si>
  <si>
    <t>MF2607IH6000-11--416(7/5)</t>
  </si>
  <si>
    <t>MF2607HQ3330-02--136(7/5)</t>
  </si>
  <si>
    <t>MF2607HQ7637-02--154(7/5)</t>
  </si>
  <si>
    <t>MF2607KI7740-01--200(7/5)</t>
  </si>
  <si>
    <t>MF2607KZ7290-01--350(7/5)</t>
  </si>
  <si>
    <t>MF2607KZ7291-01--650(7/5)</t>
  </si>
  <si>
    <t>MF2606KH9646-03--383(6/28)</t>
  </si>
  <si>
    <t>MF2606KH9647-01--160(6/28)</t>
  </si>
  <si>
    <t>MF2606KH9647-02--150(6/28)</t>
  </si>
  <si>
    <t>MF2606KH9648-05--546(6/28)</t>
  </si>
  <si>
    <t>MF2606KH9650-01--749(6/28)</t>
  </si>
  <si>
    <t>MF2607KH9646-01--119(7/5)</t>
  </si>
  <si>
    <t>MF2606KI1401-01-02--183-100(6/13)</t>
  </si>
  <si>
    <t>MF2606KI0352-01-02--177-274(6/28)</t>
  </si>
  <si>
    <t>MF2606KI0352-03-04--780-104(6/28)</t>
  </si>
  <si>
    <t>MF2606LB8409-02-03--300-1872(6/28)</t>
  </si>
  <si>
    <t>MF2606KI4719-03-04--101-327(6/28)</t>
  </si>
  <si>
    <t>MF2606KI4719-05-06--305-231(6/28)</t>
  </si>
  <si>
    <t>MF2606KI4719-07-08--165-222(6/28)</t>
  </si>
  <si>
    <t>MF2606LB8410-01-02--440-1872(6/28)</t>
  </si>
  <si>
    <t>MF2606LB8410-03-04--400-570(6/28)</t>
  </si>
  <si>
    <t>MF2607LB8410-01-02--205-367(7/5)</t>
  </si>
  <si>
    <t>7/2号完成总量</t>
  </si>
  <si>
    <t>MF2606JI1282-05--625(6/28)</t>
  </si>
  <si>
    <t>MF2606JI1282-06--205(6/28)</t>
  </si>
  <si>
    <t>MF2607JI1282-04--320(7/5)</t>
  </si>
  <si>
    <t>成品替代,只生产165双</t>
  </si>
  <si>
    <t>MF2606KJ1674-14--400(6/28)</t>
  </si>
  <si>
    <t>MF2606KH9653-08--400(6/28)</t>
  </si>
  <si>
    <t>MF2606KH9656-02--400(6/28)</t>
  </si>
  <si>
    <t>MF2606KH9656-03--542(6/28)</t>
  </si>
  <si>
    <t>MF2606KH9656-04--524(6/28)</t>
  </si>
  <si>
    <t>MF2606KH9658-02--583(6/28)</t>
  </si>
  <si>
    <t>MF2606KJ1673-01--613(6/28)</t>
  </si>
  <si>
    <t>MF2606KJ1673-02--140(6/28)</t>
  </si>
  <si>
    <t>MF2607KJ1673-02--389(7/5)</t>
  </si>
  <si>
    <t>MF2607IG6045-02--26483(7/5)</t>
  </si>
  <si>
    <t>MF2606KI7725-02-03--197-50(6/28)</t>
  </si>
  <si>
    <t>MF2607KI7725-03-04--60-279(7/5)</t>
  </si>
  <si>
    <t>MF2607KI7714-01-02--158-420(7/5)</t>
  </si>
  <si>
    <t>MF2607KH6397-01--310(7/13)</t>
  </si>
  <si>
    <t>MF2607KK3019-02--310(7/13)</t>
  </si>
  <si>
    <t>MF2607KI4718-02--410(7/13)</t>
  </si>
  <si>
    <t>MF2607KI4742-01--1254(7/13)</t>
  </si>
  <si>
    <t>MF2607LB5626-03--30(7/13)</t>
  </si>
  <si>
    <t>MEGARIDE F50 RAYQUAZA(21032/AD-71195/71196)</t>
  </si>
  <si>
    <t>MF2607KI5325-02--14(7/13)</t>
  </si>
  <si>
    <t>MF2607KI5325-03--18(7/13)</t>
  </si>
  <si>
    <t>MF2607KI5325-04--18(7/13)</t>
  </si>
  <si>
    <t>MF2607KI5325-05--2(7/13)</t>
  </si>
  <si>
    <t>MF2607KI5325-01--718(7/13)日本</t>
  </si>
  <si>
    <t>MF2607IH3396-02--80(7/13)</t>
  </si>
  <si>
    <t>MF2607IH3396-03--1200(7/13)</t>
  </si>
  <si>
    <t>MF2607IH9978-03--1052(7/13)</t>
  </si>
  <si>
    <t>MF2607IH9978-04--1949(7/13)</t>
  </si>
  <si>
    <t>MF2607JP8521-01--50(7/13)</t>
  </si>
  <si>
    <t>MF2607KK2575-01--330(7/13)</t>
  </si>
  <si>
    <t>MF2607KK2576-01--497(7/13)</t>
  </si>
  <si>
    <t>MF2607KJ0849-01--1090(7/13)</t>
  </si>
  <si>
    <t>MF2607KJ0849-02--375(7/13)</t>
  </si>
  <si>
    <t>MF2607KJ0850-02--90(7/13)</t>
  </si>
  <si>
    <t>MF2607KJ0850-03--3097(7/13)</t>
  </si>
  <si>
    <t>MF2607KJ0850-05--207(7/13)</t>
  </si>
  <si>
    <t>MF2607KJ0850-07--243(7/13)</t>
  </si>
  <si>
    <t>MF2607KJ0850-08--53(7/13)</t>
  </si>
  <si>
    <t>MMF2606JQ0598-01--3720(6/28)</t>
  </si>
  <si>
    <t>MMF2606IH6001-01--42641(6/28)</t>
  </si>
  <si>
    <t>SL 72 ADITEX(21001/AD-65744/65743)</t>
  </si>
  <si>
    <t>MF2607HP5124-01--1500(7/5)</t>
  </si>
  <si>
    <t>MF2607HP5124-02--3530(7/5)</t>
  </si>
  <si>
    <t>MF2607HP5123-01--2000(7/5)</t>
  </si>
  <si>
    <t>MF2607HP5123-02--3530(7/5)</t>
  </si>
  <si>
    <t>MF2607KZ9162-02--1500(7/13)</t>
  </si>
  <si>
    <t>MF2607JS1067-03--1000(7/13)</t>
  </si>
  <si>
    <t>MF2607LA7682-01--126(7/13)</t>
  </si>
  <si>
    <t>MF2607LA7682-03--100(7/13)</t>
  </si>
  <si>
    <t>MF2607LA7682-05--734(7/13)</t>
  </si>
  <si>
    <t>MF2607LA7682-06--628(7/13)</t>
  </si>
  <si>
    <t>MF2607LA7682-09--176(7/13)</t>
  </si>
  <si>
    <t>MF2607LA7683-01--511(7/13)</t>
  </si>
  <si>
    <t>MF2607LA7683-03--856(7/13)</t>
  </si>
  <si>
    <t>MF2607LA7683-04--198(7/13)</t>
  </si>
  <si>
    <t>MF2607LA7683-07--139(7/13)</t>
  </si>
  <si>
    <t>MF2607KI4563-03--800(7/13)</t>
  </si>
  <si>
    <t>MF2607KI4569-05--286(7/13)</t>
  </si>
  <si>
    <t>MF2607LA7682-11--1087(7/13)日本</t>
  </si>
  <si>
    <t>MF2607LA7683-10--935(7/13)日本</t>
  </si>
  <si>
    <t>MF2607LA3432-01--420(7/5)</t>
  </si>
  <si>
    <t>MF2607LA3432-03--244(7/5)</t>
  </si>
  <si>
    <t>MF2607LA3433-01--380(7/5)</t>
  </si>
  <si>
    <t>MF2607LA3433-03--244(7/5)</t>
  </si>
  <si>
    <t>MF2606HP5175-01--2(6/26)CMA 订单</t>
  </si>
  <si>
    <t>MF2606HQ7638-03--237(6/28)</t>
  </si>
  <si>
    <t>MF2606HQ7638-02--4(6/28)</t>
  </si>
  <si>
    <t>MF2606HQ3330-14--240(6/28)</t>
  </si>
  <si>
    <t>MF2606KH9907-06--275(6/28)</t>
  </si>
  <si>
    <t>MF2606KH9909-02--112(6/28)</t>
  </si>
  <si>
    <t>MF2606HQ5208-01--3259(6/28)日本</t>
  </si>
  <si>
    <t>TOKYO W NATI(41TUR/AD-68188)</t>
  </si>
  <si>
    <t>MF2607KJ7895-01--103(7/13)</t>
  </si>
  <si>
    <t>MF2607KJ7895-07--347(7/13)</t>
  </si>
  <si>
    <t>MF2607IH3999-02--101(7/13)</t>
  </si>
  <si>
    <t>MF2607IH3999-03--259(7/13)</t>
  </si>
  <si>
    <t>MF2607IH3999-04--531(7/13)</t>
  </si>
  <si>
    <t>MF2607IH3999-05--460(7/13)</t>
  </si>
  <si>
    <t>MF2607IH3999-06--1523(7/13)</t>
  </si>
  <si>
    <t>MF2607IH3999-07--236(7/13)</t>
  </si>
  <si>
    <t>MF2607IH3999-09--691(7/13)</t>
  </si>
  <si>
    <t>MF2607IH3999-10--263(7/13)</t>
  </si>
  <si>
    <t>MF2607JR4790-02--312(7/13)</t>
  </si>
  <si>
    <t>MF2607JR4790-03--598(7/13)</t>
  </si>
  <si>
    <t>MF2607JR4790-04--2400(7/13)</t>
  </si>
  <si>
    <t>MF2607JR4790-05--800(7/13)</t>
  </si>
  <si>
    <t>MF2607JR4790-06--372(7/13)</t>
  </si>
  <si>
    <t>MF2607KJ7541-01--530(7/13)日本</t>
  </si>
  <si>
    <t>MF2607KJ7542-01--330(7/13)日本</t>
  </si>
  <si>
    <t>MF2607KJ7543-01--741(7/13)日本</t>
  </si>
  <si>
    <t>MF2607KI1401-01--320(7/13)</t>
  </si>
  <si>
    <t>水洗</t>
    <phoneticPr fontId="48" type="noConversion"/>
  </si>
  <si>
    <t xml:space="preserve">MF2606KJ7551-03--532(6/13)外包鞋面 </t>
  </si>
  <si>
    <t xml:space="preserve">MF2606KJ7551-04--860(6/13)外包鞋面 </t>
  </si>
  <si>
    <t xml:space="preserve">MF2606KJ7551-05--135(6/13)外包鞋面 </t>
  </si>
  <si>
    <t xml:space="preserve">MF2606KJ7541-02--412(6/13)外包鞋面 </t>
  </si>
  <si>
    <t xml:space="preserve">MF2606KJ7541-03--108(6/13)外包鞋面 </t>
  </si>
  <si>
    <t xml:space="preserve">MF2606KJ7541-04--300(6/13)外包鞋面 </t>
  </si>
  <si>
    <t xml:space="preserve">MF2606KJ7541-05--632(6/13)外包鞋面 </t>
  </si>
  <si>
    <t>MF2607KJ7551-01--796(7/13)</t>
  </si>
  <si>
    <t>MF2607KJ7551-05--350(7/13)</t>
  </si>
  <si>
    <t>MF2607KJ7551-06--585(7/13)</t>
  </si>
  <si>
    <t>MF2607JQ0598-01--150(7/13)</t>
  </si>
  <si>
    <t>MF2607KJ8377-02--192(7/13)</t>
  </si>
  <si>
    <t>MF2607KJ8377-04--316(7/13)</t>
  </si>
  <si>
    <t>MF2607HP5175-02--2301(7/13)</t>
  </si>
  <si>
    <t>MF2607HP5175-03--556(7/13)</t>
  </si>
  <si>
    <t>MF2606LB5626-01-03--29-19(6/28)</t>
  </si>
  <si>
    <t>MF2607LB5626-01-02--24-24(7/5)</t>
  </si>
  <si>
    <t>MF2607KH9907-01--100(7/13)</t>
  </si>
  <si>
    <t>MF2607KH9907-02--3215(7/13)</t>
  </si>
  <si>
    <t>MF2606IH2248-02-03--300-600(6/13)</t>
  </si>
  <si>
    <t>MF2606GV6893-01-02--276-113(6/13)</t>
  </si>
  <si>
    <t>MF2606GV6891-01-02--276-113(6/13)</t>
  </si>
  <si>
    <t>MF2605IH3994-02--354(6/13)</t>
  </si>
  <si>
    <t>W CODECHAOS 27(72010/AD-71968/71970)</t>
  </si>
  <si>
    <t>adidas F50 ADIFRAME W(41TUR/AD-70970/70970-1)</t>
  </si>
  <si>
    <t>MF2606KJ0852-09-11--169-240(6/28)</t>
  </si>
  <si>
    <t>MF2606KJ0852-04-05--82-36(6/13)</t>
  </si>
  <si>
    <t>MF2606KJ0852-02-03--132-130(6/13)</t>
  </si>
  <si>
    <t>MF2606KJ0850-10-11--572-50(6/28)</t>
  </si>
  <si>
    <t>MF2606KJ0850-08-09--41-667(6/13)</t>
  </si>
  <si>
    <t>MF2606KJ0850-04-07--16-471(6/13)</t>
  </si>
  <si>
    <t>MF2606KJ0850-02-03--93-40(6/13)</t>
  </si>
  <si>
    <t>MF2606KJ0851-08-09--318-10(6/13)</t>
  </si>
  <si>
    <t>MF2606KJ0851-03-04--20-16(6/13)</t>
  </si>
  <si>
    <t>MF2606KJ7552-03--475(6/13)</t>
  </si>
  <si>
    <t>MF2606KJ7552-04--300(6/13)</t>
  </si>
  <si>
    <t>MF2606IH3994-01--1475(6/28)</t>
  </si>
  <si>
    <t>MF2605GV6894-02--3267(6/13)</t>
  </si>
  <si>
    <t>MF2606GV6894-01--1200(6/13)</t>
  </si>
  <si>
    <t>MF2607KH9652-03--650(7/5)</t>
  </si>
  <si>
    <t xml:space="preserve">  2026年6月份生产一部正式进度表</t>
  </si>
  <si>
    <t xml:space="preserve">  2026年6月份外包永好正式进度表</t>
  </si>
  <si>
    <t xml:space="preserve">  2026年6月份生产十二部正式进度表</t>
  </si>
  <si>
    <t xml:space="preserve">  2026年6月份生产十一部正式进度表</t>
  </si>
  <si>
    <t xml:space="preserve">  2026年6月份生产十部正式进度表</t>
  </si>
  <si>
    <t xml:space="preserve">  2026年6月份生产九部正式进度表</t>
  </si>
  <si>
    <t xml:space="preserve">  2026年6月份生产八部正式进度表</t>
  </si>
  <si>
    <t xml:space="preserve">  2026年6月份生产七部正式进度表</t>
  </si>
  <si>
    <t xml:space="preserve">  2026年6月份生产六部正式进度表</t>
  </si>
  <si>
    <t xml:space="preserve">  2026年6月份生产五部正式进度表</t>
  </si>
  <si>
    <t xml:space="preserve">  2026年6月份生产三部正式进度表</t>
  </si>
  <si>
    <t>MF2604KZ9163-01--2034(6/28)</t>
  </si>
  <si>
    <t>MF2606KJ1670-02--2(6/21)CMA 订单</t>
  </si>
  <si>
    <t>MF2607KI5241-01--564(6/28)</t>
  </si>
  <si>
    <t>MF2607KK3019-01--569(6/28)</t>
  </si>
  <si>
    <t>MF2607KK3025-01--564(6/28)</t>
  </si>
  <si>
    <t>MF2605KJ5770-04--502(6/13)</t>
  </si>
  <si>
    <t>SL 72 RS EL C(23005/AD-66418/66417)</t>
  </si>
  <si>
    <t>MF2606KH9672-01--899(6/28)外包鞋面</t>
  </si>
  <si>
    <t>MF2606KJ7892-03-04--25-25(6/13)</t>
  </si>
  <si>
    <t>MF2606KJ7893-01-03--600-25(6/13)</t>
  </si>
  <si>
    <t>MF2606KJ7893-04-05--25-25(6/13)</t>
  </si>
  <si>
    <t xml:space="preserve">MF2606KJ7541-01--300(6/28)外包鞋面 </t>
  </si>
  <si>
    <t>MF2606LA3432-01--6710(6/28)日本</t>
  </si>
  <si>
    <t>150双</t>
  </si>
  <si>
    <t>MF2606LA3433-01--5111(6/28)日本</t>
  </si>
  <si>
    <t>MF2606KJ5770-03--840(6/13)</t>
  </si>
  <si>
    <t>MF2606JP7827-01--1464(6/28)</t>
  </si>
  <si>
    <t>MF2606JP7827-02--1200(6/28)</t>
  </si>
  <si>
    <t>MF2606HQ4909-01--1799(6/28)</t>
  </si>
  <si>
    <t>MF2606HQ4909-02--1865(6/28)</t>
  </si>
  <si>
    <t>MF2606JQ9824-01--1608(6/28)</t>
  </si>
  <si>
    <t>MF2606JQ9824-02--1608(6/28)</t>
  </si>
  <si>
    <t>65双</t>
  </si>
  <si>
    <t>MF2607KI8402-01--100(7/13)</t>
  </si>
  <si>
    <t>MF2607JR4790-07--1971(7/13)</t>
  </si>
  <si>
    <t>MF2607JR4790-08--2688(7/13)</t>
  </si>
  <si>
    <t>成品替代,只生产335双</t>
  </si>
  <si>
    <t>成品替代,只生产312双</t>
  </si>
  <si>
    <t>成品替代,只生产138双</t>
  </si>
  <si>
    <t>成品替代,只生产111双</t>
  </si>
  <si>
    <t>F50 TUNIT MEGA JAH JAH(21010/AD-70970/70970-1)</t>
  </si>
  <si>
    <t>MF2607IH6000-13--304(7/13)</t>
  </si>
  <si>
    <t>MF2607IH6000-14--926(7/13)</t>
  </si>
  <si>
    <t>MF2607IH6000-17--295(7/13)</t>
  </si>
  <si>
    <t>7/3号完成总量</t>
  </si>
  <si>
    <t>MF2607KI7738-01--758(7/13)</t>
  </si>
  <si>
    <t>MF2607KI7738-02--110(7/13)</t>
  </si>
  <si>
    <t>MF2607KI7738-03--330(7/13)</t>
  </si>
  <si>
    <t>MF2607KI7740-02--309(7/13)</t>
  </si>
  <si>
    <t>MF2607KI7740-03--710(7/13)</t>
  </si>
  <si>
    <t>MF2607KI7740-04--655(7/13)</t>
  </si>
  <si>
    <t>MF2607KK0908-01--5(7/12)</t>
  </si>
  <si>
    <t>MF2606IH6001-14--5000(6/13)</t>
  </si>
  <si>
    <t>CR 订单</t>
  </si>
  <si>
    <t>MF2605KJ7892-05--300(6/28)</t>
  </si>
  <si>
    <t>MF2603LA1814-01--5000(6/28)</t>
  </si>
  <si>
    <t>MF2605KI5735-06--1228(6/13)</t>
  </si>
  <si>
    <t>MF2605KI5735-12--429(6/13)</t>
  </si>
  <si>
    <t>MF2603KZ6449-12--5000(6/28)</t>
  </si>
  <si>
    <t>MF2604KZ6449-11--1240(6/28)</t>
  </si>
  <si>
    <t>MF2603KK4234-17--432(6/28)</t>
  </si>
  <si>
    <t>MF2604KZ6449-12--5000(6/28)</t>
  </si>
  <si>
    <t>MF2603KZ6449-11--5000(6/28)</t>
  </si>
  <si>
    <t>MF2605KH7374-01-02--280-193(6/28)</t>
  </si>
  <si>
    <t>MF2605KH7374-03-04--303-264(6/28)</t>
  </si>
  <si>
    <t>MF2605KH7374-05-06--380-280(6/28)</t>
  </si>
  <si>
    <t>MF2605KH7374-07-08--193-351(6/28)</t>
  </si>
  <si>
    <t>MF2605KJ7892-03-04--342-558(6/28)</t>
  </si>
  <si>
    <t>MF2603KZ6449-13--2202(6/28)</t>
  </si>
  <si>
    <t>MF2606KJ7510-04--2410(6/21)</t>
  </si>
  <si>
    <t>MF2606KJ7539-03--153(6/13) )</t>
  </si>
  <si>
    <t>MF2606KJ7539-04--100(6/13) )</t>
  </si>
  <si>
    <t>MF2606KJ7539-06--410(6/13) )</t>
  </si>
  <si>
    <t>MF2606KJ7539-07--498(6/13) )</t>
  </si>
  <si>
    <t>MF2606KJ7539-02--505(6/21) )</t>
  </si>
  <si>
    <t>MF2607KJ7539-01--188(7/21) )</t>
  </si>
  <si>
    <t xml:space="preserve">MF2605KI3584-06--1448(6/13)外包鞋面 </t>
  </si>
  <si>
    <t xml:space="preserve">MF2605KI3584-07--683(6/13)外包鞋面 </t>
  </si>
  <si>
    <t>7/4号完成总量</t>
  </si>
  <si>
    <t>只生产2000双</t>
  </si>
  <si>
    <t>一</t>
    <phoneticPr fontId="48" type="noConversion"/>
  </si>
  <si>
    <t>二</t>
    <phoneticPr fontId="48" type="noConversion"/>
  </si>
  <si>
    <t>六</t>
    <phoneticPr fontId="48" type="noConversion"/>
  </si>
  <si>
    <t>HELLSTAR MEGARIDE S2(21010/AD-66959/66958/1/2)</t>
    <phoneticPr fontId="49" type="noConversion"/>
  </si>
  <si>
    <t>找样品室谈</t>
    <phoneticPr fontId="48" type="noConversion"/>
  </si>
  <si>
    <t>LA TRAINER OG(61BAS/AD-68783/68782)</t>
    <phoneticPr fontId="48" type="noConversion"/>
  </si>
  <si>
    <r>
      <t>7/1</t>
    </r>
    <r>
      <rPr>
        <b/>
        <sz val="13"/>
        <rFont val="宋体"/>
        <family val="3"/>
        <charset val="134"/>
      </rPr>
      <t>号完成总量</t>
    </r>
  </si>
  <si>
    <t>OZWEEGO J(51011/AD-06804/06803)</t>
    <phoneticPr fontId="49" type="noConversion"/>
  </si>
  <si>
    <t>ADISTAR XLG 2.0 J(21010/AD-72792/72793)</t>
    <phoneticPr fontId="49" type="noConversion"/>
  </si>
  <si>
    <t>ADISTAR XLG 2.0(21010/AD-72792/72793)</t>
    <phoneticPr fontId="48" type="noConversion"/>
  </si>
  <si>
    <t>与10A共指令，只生产4423双</t>
    <phoneticPr fontId="48" type="noConversion"/>
  </si>
  <si>
    <t>MF2606JQ0553-01-02--36-125(6/28)</t>
    <phoneticPr fontId="48" type="noConversion"/>
  </si>
  <si>
    <t>MF2606JP9626-01-02--171-208(6/13)</t>
    <phoneticPr fontId="48" type="noConversion"/>
  </si>
  <si>
    <t>MF2606JP9626-03-04--540-48(6/13)</t>
    <phoneticPr fontId="48" type="noConversion"/>
  </si>
  <si>
    <t>MF2606KH9590-01-02--36-40(6/28)</t>
    <phoneticPr fontId="48" type="noConversion"/>
  </si>
  <si>
    <t>MF2606KH9590-03-04--366-499(6/28)</t>
    <phoneticPr fontId="48" type="noConversion"/>
  </si>
  <si>
    <t>水洗鞋面</t>
    <phoneticPr fontId="48" type="noConversion"/>
  </si>
  <si>
    <t>MF2606KI4569-03--199(6/13)</t>
    <phoneticPr fontId="48" type="noConversion"/>
  </si>
  <si>
    <t>外包鞋面</t>
    <phoneticPr fontId="48" type="noConversion"/>
  </si>
  <si>
    <t>MF2607KJ7551-02--236(7/5)</t>
    <phoneticPr fontId="48" type="noConversion"/>
  </si>
  <si>
    <t>整个鞋面打扣子</t>
    <phoneticPr fontId="48" type="noConversion"/>
  </si>
  <si>
    <t>成型进度</t>
    <phoneticPr fontId="49" type="noConversion"/>
  </si>
  <si>
    <t>针车进度</t>
    <phoneticPr fontId="49" type="noConversion"/>
  </si>
  <si>
    <t>与6A共指令，只生产3000双</t>
    <phoneticPr fontId="48" type="noConversion"/>
  </si>
  <si>
    <t>MF2605KK4234-06--4541(6/28)</t>
    <phoneticPr fontId="48" type="noConversion"/>
  </si>
  <si>
    <t>MF2606KK0037-07-08--305-9(6/13)</t>
    <phoneticPr fontId="48" type="noConversion"/>
  </si>
  <si>
    <t>MF2606KK0036-01-03--2-651(6/13)</t>
    <phoneticPr fontId="48" type="noConversion"/>
  </si>
  <si>
    <t>一</t>
    <phoneticPr fontId="48" type="noConversion"/>
  </si>
  <si>
    <t>二</t>
    <phoneticPr fontId="48" type="noConversion"/>
  </si>
  <si>
    <t>六</t>
    <phoneticPr fontId="48" type="noConversion"/>
  </si>
  <si>
    <r>
      <rPr>
        <b/>
        <sz val="12"/>
        <color rgb="FF00B050"/>
        <rFont val="宋体"/>
        <family val="3"/>
        <charset val="134"/>
      </rPr>
      <t>只生产</t>
    </r>
    <r>
      <rPr>
        <b/>
        <sz val="12"/>
        <color rgb="FF00B050"/>
        <rFont val="Tahoma"/>
        <family val="2"/>
      </rPr>
      <t>7000</t>
    </r>
    <r>
      <rPr>
        <b/>
        <sz val="12"/>
        <color rgb="FF00B050"/>
        <rFont val="宋体"/>
        <family val="3"/>
        <charset val="134"/>
      </rPr>
      <t>双</t>
    </r>
  </si>
  <si>
    <t>MF2605KI5736-02--482(6/5)</t>
    <phoneticPr fontId="48" type="noConversion"/>
  </si>
  <si>
    <t>MF2605KI5754-01--124(6/5)</t>
    <phoneticPr fontId="48" type="noConversion"/>
  </si>
  <si>
    <r>
      <t>MF2605KI5753-04--178(6/5)</t>
    </r>
    <r>
      <rPr>
        <sz val="14"/>
        <rFont val="宋体"/>
        <family val="3"/>
        <charset val="134"/>
      </rPr>
      <t>中国</t>
    </r>
  </si>
  <si>
    <t>MF2607KZ9163-01--526(7/29)</t>
  </si>
  <si>
    <t>MF2605KI5753-03--2530(6/13)</t>
  </si>
  <si>
    <t>MF2607KZ9162-01--542(7/29)</t>
  </si>
  <si>
    <t>MF2607KZ9161-01--525(7/29)</t>
  </si>
  <si>
    <t>MF2606KI4741-02--159(7/28)</t>
  </si>
  <si>
    <t>2A</t>
  </si>
  <si>
    <t>MF2606G48060-04--235(6/28)</t>
  </si>
  <si>
    <t>MF2606G48060-05--56(6/28)</t>
  </si>
  <si>
    <t>MF2606G48060-06--117(6/28)</t>
  </si>
  <si>
    <t>MF2606G48060-07--55(6/28)</t>
  </si>
  <si>
    <t>MF2607G48060-01--419(7/5)</t>
  </si>
  <si>
    <t>MF2607G48060-02--66(7/5)</t>
  </si>
  <si>
    <t>MF2607KJ0260-02--195(7/5)</t>
  </si>
  <si>
    <t>MF2607KJ0260-03--61(7/5)</t>
  </si>
  <si>
    <r>
      <t>7/4</t>
    </r>
    <r>
      <rPr>
        <b/>
        <sz val="13"/>
        <rFont val="宋体"/>
        <family val="3"/>
        <charset val="134"/>
      </rPr>
      <t>号完成总量</t>
    </r>
  </si>
  <si>
    <t>MF2607HQ3330-04--300(6/30)</t>
  </si>
  <si>
    <t>MF2606LA7683-14--374(6/28)</t>
  </si>
  <si>
    <t>MF2605KH8086-06--2768(5/29)</t>
  </si>
  <si>
    <t>2B</t>
  </si>
  <si>
    <r>
      <rPr>
        <b/>
        <sz val="12"/>
        <rFont val="宋体"/>
        <family val="3"/>
        <charset val="134"/>
      </rPr>
      <t>原排</t>
    </r>
    <r>
      <rPr>
        <b/>
        <sz val="12"/>
        <rFont val="Tahoma"/>
        <family val="2"/>
      </rPr>
      <t>5</t>
    </r>
    <r>
      <rPr>
        <b/>
        <sz val="12"/>
        <rFont val="宋体"/>
        <family val="3"/>
        <charset val="134"/>
      </rPr>
      <t>月份进度，只生产</t>
    </r>
    <r>
      <rPr>
        <b/>
        <sz val="12"/>
        <rFont val="Tahoma"/>
        <family val="2"/>
      </rPr>
      <t>3801</t>
    </r>
    <r>
      <rPr>
        <b/>
        <sz val="12"/>
        <rFont val="宋体"/>
        <family val="3"/>
        <charset val="134"/>
      </rPr>
      <t>双</t>
    </r>
  </si>
  <si>
    <t>MF2605KI1388-11--607(6/21)</t>
  </si>
  <si>
    <t>MF2605KI1388-12--569(6/21)</t>
  </si>
  <si>
    <t>MF2605KK0657-04--786(6/21)</t>
  </si>
  <si>
    <t>MF2605KI5734-02--71(6/21)</t>
  </si>
  <si>
    <t>MF2605KI5753-05--1161(6/16)</t>
    <phoneticPr fontId="48" type="noConversion"/>
  </si>
  <si>
    <r>
      <rPr>
        <b/>
        <sz val="10"/>
        <color rgb="FF0000FF"/>
        <rFont val="宋体"/>
        <family val="3"/>
        <charset val="134"/>
      </rPr>
      <t>原排</t>
    </r>
    <r>
      <rPr>
        <b/>
        <sz val="10"/>
        <color rgb="FF0000FF"/>
        <rFont val="Tahoma"/>
        <family val="2"/>
      </rPr>
      <t>2B 5</t>
    </r>
    <r>
      <rPr>
        <b/>
        <sz val="10"/>
        <color rgb="FF0000FF"/>
        <rFont val="宋体"/>
        <family val="3"/>
        <charset val="134"/>
      </rPr>
      <t>月进度</t>
    </r>
    <r>
      <rPr>
        <b/>
        <sz val="10"/>
        <color rgb="FF0000FF"/>
        <rFont val="宋体"/>
        <family val="3"/>
        <charset val="134"/>
      </rPr>
      <t>，只生产</t>
    </r>
    <r>
      <rPr>
        <b/>
        <sz val="10"/>
        <color rgb="FF0000FF"/>
        <rFont val="Tahoma"/>
        <family val="2"/>
      </rPr>
      <t>1148</t>
    </r>
    <r>
      <rPr>
        <b/>
        <sz val="10"/>
        <color rgb="FF0000FF"/>
        <rFont val="宋体"/>
        <family val="3"/>
        <charset val="134"/>
      </rPr>
      <t>双</t>
    </r>
    <phoneticPr fontId="48" type="noConversion"/>
  </si>
  <si>
    <r>
      <t>5</t>
    </r>
    <r>
      <rPr>
        <b/>
        <sz val="10"/>
        <color rgb="FF0000FF"/>
        <rFont val="宋体"/>
        <family val="3"/>
        <charset val="134"/>
      </rPr>
      <t>月已生产</t>
    </r>
    <r>
      <rPr>
        <b/>
        <sz val="10"/>
        <color rgb="FF0000FF"/>
        <rFont val="Tahoma"/>
        <family val="2"/>
      </rPr>
      <t>1768</t>
    </r>
    <r>
      <rPr>
        <b/>
        <sz val="10"/>
        <color rgb="FF0000FF"/>
        <rFont val="宋体"/>
        <family val="3"/>
        <charset val="134"/>
      </rPr>
      <t>双，只生产</t>
    </r>
    <r>
      <rPr>
        <b/>
        <sz val="10"/>
        <color rgb="FF0000FF"/>
        <rFont val="Tahoma"/>
        <family val="2"/>
      </rPr>
      <t>1000</t>
    </r>
    <r>
      <rPr>
        <b/>
        <sz val="10"/>
        <color rgb="FF0000FF"/>
        <rFont val="宋体"/>
        <family val="3"/>
        <charset val="134"/>
      </rPr>
      <t>双</t>
    </r>
    <phoneticPr fontId="48" type="noConversion"/>
  </si>
  <si>
    <r>
      <t>135</t>
    </r>
    <r>
      <rPr>
        <sz val="12"/>
        <rFont val="宋体"/>
        <family val="3"/>
        <charset val="134"/>
      </rPr>
      <t>双</t>
    </r>
    <phoneticPr fontId="48" type="noConversion"/>
  </si>
  <si>
    <t>与9A共指令，只生产14483双</t>
  </si>
  <si>
    <t>与6A共指令，只生产12000双</t>
  </si>
  <si>
    <t>2C 转进</t>
  </si>
  <si>
    <t>MF2607HQ2887-02--5449(7/13)日本</t>
  </si>
  <si>
    <t>MF2605KI5735-10--923(6/5)</t>
    <phoneticPr fontId="48" type="noConversion"/>
  </si>
  <si>
    <t>MF2605KI5735-11--775(6/5)</t>
    <phoneticPr fontId="48" type="noConversion"/>
  </si>
  <si>
    <t>MF2605KK0658-03--534(6/5)</t>
  </si>
  <si>
    <t>MF2605KI1388-08--345(6/5)</t>
  </si>
  <si>
    <t>5月转进</t>
  </si>
  <si>
    <t>MF2605KI5741-03--2601(6/7)</t>
  </si>
  <si>
    <t>MF2605KI5741-01--130(6/7)</t>
  </si>
  <si>
    <t>MF2605KI5737-10--645(6/7)</t>
  </si>
  <si>
    <t>MF2605KI5737-09--409(6/7)</t>
  </si>
  <si>
    <t>MF2605KI5737-08--239(6/7)</t>
  </si>
  <si>
    <t>MF2605KI5737-07--555(6/5)</t>
  </si>
  <si>
    <r>
      <t xml:space="preserve">Backlog </t>
    </r>
    <r>
      <rPr>
        <b/>
        <sz val="12"/>
        <color rgb="FFFF0000"/>
        <rFont val="宋体"/>
        <family val="3"/>
        <charset val="134"/>
      </rPr>
      <t>订单</t>
    </r>
  </si>
  <si>
    <t>MF2605KI5737-04--1271(5/29)日本</t>
  </si>
  <si>
    <t>MF2605KI5740-02--3552(6/7)</t>
    <phoneticPr fontId="48" type="noConversion"/>
  </si>
  <si>
    <t>MF2605KI5740-04--1125(6/7)日本</t>
  </si>
  <si>
    <t>MF2605KI5740-03--35(6/7)中国</t>
  </si>
  <si>
    <t>MF2605KI5740-01--440(6/7)中国</t>
  </si>
  <si>
    <r>
      <rPr>
        <b/>
        <sz val="11"/>
        <color rgb="FF0000FF"/>
        <rFont val="宋体"/>
        <family val="3"/>
        <charset val="134"/>
      </rPr>
      <t>与</t>
    </r>
    <r>
      <rPr>
        <b/>
        <sz val="11"/>
        <color rgb="FF0000FF"/>
        <rFont val="Tahoma"/>
        <family val="2"/>
      </rPr>
      <t>1C</t>
    </r>
    <r>
      <rPr>
        <b/>
        <sz val="11"/>
        <color rgb="FF0000FF"/>
        <rFont val="宋体"/>
        <family val="3"/>
        <charset val="134"/>
      </rPr>
      <t>共指令，只生产1200双</t>
    </r>
  </si>
  <si>
    <r>
      <rPr>
        <b/>
        <sz val="11"/>
        <color rgb="FF0000FF"/>
        <rFont val="宋体"/>
        <family val="3"/>
        <charset val="134"/>
      </rPr>
      <t>与</t>
    </r>
    <r>
      <rPr>
        <b/>
        <sz val="11"/>
        <color rgb="FF0000FF"/>
        <rFont val="Tahoma"/>
        <family val="2"/>
      </rPr>
      <t>1B</t>
    </r>
    <r>
      <rPr>
        <b/>
        <sz val="11"/>
        <color rgb="FF0000FF"/>
        <rFont val="宋体"/>
        <family val="3"/>
        <charset val="134"/>
      </rPr>
      <t>共指令，只生产5500双</t>
    </r>
  </si>
  <si>
    <t>MF2606HQ9343-02--785(6/5)</t>
  </si>
  <si>
    <t>MF2606KI4740-01--336(6/5)</t>
  </si>
  <si>
    <t>MF2606KI4741-01--137(6/5)</t>
  </si>
  <si>
    <t>MF2606KI4745-02--210(6/5)</t>
  </si>
  <si>
    <r>
      <rPr>
        <b/>
        <sz val="12"/>
        <color rgb="FFFF0000"/>
        <rFont val="宋体"/>
        <family val="3"/>
        <charset val="134"/>
      </rPr>
      <t>5月</t>
    </r>
    <r>
      <rPr>
        <b/>
        <sz val="12"/>
        <color rgb="FFFF0000"/>
        <rFont val="Tahoma"/>
        <family val="2"/>
      </rPr>
      <t xml:space="preserve">Backlog </t>
    </r>
  </si>
  <si>
    <t>MF2606KI8144-02-03--610-558(6/5)</t>
  </si>
  <si>
    <t>MF2606KI8143-03-04--630-394(6/5)</t>
  </si>
  <si>
    <t>MF2606KH9679-06--301(6/5)</t>
  </si>
  <si>
    <t>MF2606KH9679-07--316(6/5)</t>
  </si>
  <si>
    <t>MF2606KJ1675-01--300(6/5)</t>
  </si>
  <si>
    <t>MF2606KJ1675-03--677(6/5)</t>
  </si>
  <si>
    <t>MF2606KJ1675-05--190(6/5)</t>
  </si>
  <si>
    <t>MF2606KJ1676-02--495(6/5)</t>
  </si>
  <si>
    <t>MF2606KJ1676-03--180(6/5)</t>
  </si>
  <si>
    <t>MF2606KJ4381-02--150(6/5)</t>
  </si>
  <si>
    <t>MF2606KK2445-02--370(6/5)</t>
  </si>
  <si>
    <t>MF2606KK2445-04--961(6/5)</t>
  </si>
  <si>
    <t>MF2606KK2444-01--318(6/5)</t>
  </si>
  <si>
    <t>MF2606KK2444-02--250(6/5)</t>
  </si>
  <si>
    <t>MF2606KK2444-03--496(6/5)</t>
  </si>
  <si>
    <t>MF2604KZ9155-23--264(5/29)</t>
  </si>
  <si>
    <t>MF2604KZ9155-26--463(5/29)</t>
  </si>
  <si>
    <t>MF2604KZ9155-30--198(5/29)</t>
  </si>
  <si>
    <t>MF2604KJ7895-22--1602(5/29)日本</t>
  </si>
  <si>
    <t>MF2604KZ6450-04--1800(5/29)</t>
  </si>
  <si>
    <t>MF2603KJ7892-26--4151(5/29)</t>
  </si>
  <si>
    <t>MF2606KK2445-03--505(6/5)</t>
  </si>
  <si>
    <t>MF2606KK2445-01--608(6/5)</t>
  </si>
  <si>
    <t>MF2606KK2438-01--554(6/5)</t>
    <phoneticPr fontId="48" type="noConversion"/>
  </si>
  <si>
    <t>MF2606KH9681-06--336(6/5)</t>
  </si>
  <si>
    <t>MF2606KH9681-03--500(6/5)</t>
  </si>
  <si>
    <t>MF2606KH9680-03--500(6/5)</t>
  </si>
  <si>
    <t>MF2606KH9680-01--873(6/5)</t>
  </si>
  <si>
    <t>MF2606LA7414-03--300(6/5)</t>
  </si>
  <si>
    <t>MF2606LA7414-02--300(6/5)</t>
  </si>
  <si>
    <t>MF2606LA7414-01--300(6/5)</t>
  </si>
  <si>
    <t>MF2606LA7413-04--300(6/5)</t>
  </si>
  <si>
    <t>MF2606LA7413-03--300(6/5)</t>
  </si>
  <si>
    <t>MF2606LA7413-01--300(6/5)</t>
  </si>
  <si>
    <t>MF2605KJ5260-01--627(5/29)</t>
  </si>
  <si>
    <t xml:space="preserve">MF2604KJ8322-03--900(5/29) </t>
  </si>
  <si>
    <t>SL 72 RTN(22011/AD-65508/65507)</t>
  </si>
  <si>
    <t xml:space="preserve">MF2606IH5569-01--830(6/5)外包鞋面 </t>
  </si>
  <si>
    <t>MF2606KH9652-03--300(6/5)</t>
  </si>
  <si>
    <t>MF2606KH9652-04--300(6/5)</t>
  </si>
  <si>
    <t>MF2606KH9652-06--712(6/5)</t>
  </si>
  <si>
    <t>MF2606KH9651-01--300(6/5)</t>
  </si>
  <si>
    <t>MF2606KH9651-02--712(6/5)</t>
  </si>
  <si>
    <t>MF2606JQ9555-02--561(6/5)</t>
  </si>
  <si>
    <t>MF2606JQ9555-03--390(6/5)</t>
  </si>
  <si>
    <t>MF2606KH9653-04--300(6/5)</t>
  </si>
  <si>
    <t>MF2606KH9653-05--300(6/5)</t>
  </si>
  <si>
    <t>MF2606KH9653-06--890(6/5)</t>
  </si>
  <si>
    <t>MF2606KH9646-01--547(6/5)</t>
  </si>
  <si>
    <t>MF2606KH9646-02--301(6/5)</t>
  </si>
  <si>
    <t>MF2606LA1750-01--305(6/5)</t>
  </si>
  <si>
    <t>MF2606KH9644-01-02--301-347(6/5)</t>
    <phoneticPr fontId="0" type="noConversion"/>
  </si>
  <si>
    <t>MF2606KH9648-04--432(6/5)</t>
  </si>
  <si>
    <t>MF2606KJ7404-01--300(6/5)</t>
  </si>
  <si>
    <t>MF2605KH9653-08--504(6/28)</t>
  </si>
  <si>
    <t>MF2603KZ9155-47--4959(5/29)</t>
  </si>
  <si>
    <t>MF2604KZ9155-22--477(5/29)</t>
  </si>
  <si>
    <t>MF2603KJ7892-12--1800(5/29)</t>
  </si>
  <si>
    <t>MF2603KJ7892-28--356(5/29)</t>
  </si>
  <si>
    <t>MF2606KZ9155-03--336(6/5)</t>
  </si>
  <si>
    <t>MF2606KZ9155-02--513(6/5)</t>
  </si>
  <si>
    <t>MF2603KZ9155-52--3430(5/29)</t>
  </si>
  <si>
    <t>MF2606LA7683-06--604(6/5)</t>
  </si>
  <si>
    <t>MF2606LA7683-10--341(6/5)</t>
  </si>
  <si>
    <t>MF2606LA7683-04--450(6/5)</t>
  </si>
  <si>
    <t>MF2605LA7683-02--703(6/5)</t>
  </si>
  <si>
    <t>MF2605LA7683-03--605(6/5)</t>
  </si>
  <si>
    <t>MF2605LA7683-06--300(6/5)</t>
  </si>
  <si>
    <t>MF2605LA7683-12--300(6/5)</t>
  </si>
  <si>
    <t>MF2605LA7683-16--420(6/5)</t>
  </si>
  <si>
    <t>MF2605LA7683-17--370(6/5)</t>
  </si>
  <si>
    <t>MF2606KK0031-02--649(6/5)</t>
  </si>
  <si>
    <t>MF2606KK0031-04--572(6/5)</t>
  </si>
  <si>
    <t>MF2606KK0031-05--532(6/5)</t>
  </si>
  <si>
    <t>MF2606KK0030-02--760(6/5)</t>
  </si>
  <si>
    <t>MF2606KJ7539-05--876(6/5)</t>
  </si>
  <si>
    <t>MF2606KJ7551-02--289(6/5)</t>
  </si>
  <si>
    <t>MF2606KJ7552-02--282(6/5)</t>
  </si>
  <si>
    <t>MF2606KJ7543-01--430(6/5)日本</t>
  </si>
  <si>
    <t>MF2606KJ7543-06--20(6/12)</t>
  </si>
  <si>
    <t>MF2606KJ7544-01--673(6/5)</t>
  </si>
  <si>
    <t>MF2606KJ5221-02--559(6/5)日本</t>
  </si>
  <si>
    <t>MF2606IH3999-01--525(6/5)</t>
  </si>
  <si>
    <t>MF2606KJ8378-01--308(6/5)</t>
  </si>
  <si>
    <t>MF2603KJ7892-20--549(5/29)</t>
    <phoneticPr fontId="48" type="noConversion"/>
  </si>
  <si>
    <t>MF2603KJ7892-23--1390(5/29)</t>
    <phoneticPr fontId="48" type="noConversion"/>
  </si>
  <si>
    <t>MF2604KJ7892-03--900(5/29)</t>
    <phoneticPr fontId="48" type="noConversion"/>
  </si>
  <si>
    <t>MF2605KJ7892-09--27(5/29)</t>
  </si>
  <si>
    <t>MF2605KJ7892-12--27(5/29)</t>
  </si>
  <si>
    <t>MF2605KJ7892-14--86(5/29)</t>
  </si>
  <si>
    <t>MF2604KJ7892-06--1500(5/29)</t>
  </si>
  <si>
    <t>MF2603KJ7892-15--300(5/29)</t>
  </si>
  <si>
    <t>MF2603KJ7892-16--1500(5/29)</t>
  </si>
  <si>
    <t>MF2603KJ7892-13--480(5/29)</t>
  </si>
  <si>
    <t>MF2603KJ7892-27--316(5/29)</t>
  </si>
  <si>
    <r>
      <t>145</t>
    </r>
    <r>
      <rPr>
        <sz val="12"/>
        <rFont val="宋体"/>
        <family val="3"/>
        <charset val="134"/>
      </rPr>
      <t>双</t>
    </r>
  </si>
  <si>
    <t>MF2604HP4218-31--4450(5/29)</t>
  </si>
  <si>
    <t>MF2606HP4218-03--52(6/5)</t>
  </si>
  <si>
    <t>MF2606HP4218-04--600(6/5)</t>
  </si>
  <si>
    <t>MF2605HP4218-02--135(6/13)中国</t>
  </si>
  <si>
    <t>MF2605HP4218-04--700(6/13)</t>
  </si>
  <si>
    <t>MF2605HP4218-05--36(6/13)</t>
  </si>
  <si>
    <t>MF2605HP4218-06--76(6/13)</t>
  </si>
  <si>
    <t>MF2605HP4218-07--26(6/13)</t>
  </si>
  <si>
    <t>MF2605HP4218-08--500(6/13)</t>
  </si>
  <si>
    <t>MF2605HP4218-09--500(6/13)</t>
  </si>
  <si>
    <t>MF2606KJ7510-03--4200(6/5)</t>
  </si>
  <si>
    <t>MF2603KK4234-13--900(5/29)</t>
  </si>
  <si>
    <t>MF2603KK4234-14--756(5/29)</t>
  </si>
  <si>
    <t>MF2603KK4234-18--600(5/29)</t>
  </si>
  <si>
    <t>MF2604KK4234-03--900(5/29)</t>
    <phoneticPr fontId="48" type="noConversion"/>
  </si>
  <si>
    <t>MF2603KK4234-15--990(5/29)</t>
    <phoneticPr fontId="48" type="noConversion"/>
  </si>
  <si>
    <t>MF2606IG6049-02--2713(6/5)日本</t>
  </si>
  <si>
    <t>MF2603KZ6449-09--5000(6/28)</t>
  </si>
  <si>
    <t>只生产2630双</t>
  </si>
  <si>
    <t>MF2606KZ6449-01--600(6/5)</t>
  </si>
  <si>
    <t>MF2606KZ6449-02--1670(6/5)</t>
  </si>
  <si>
    <t>MF2606KJ2282-01--677(6/5)</t>
  </si>
  <si>
    <t>MF2606KJ2282-02--435(6/5)</t>
  </si>
  <si>
    <t>MF2606KJ1670-03--293(6/5)</t>
  </si>
  <si>
    <t>MF2606KJ1666-01--840(6/5)</t>
  </si>
  <si>
    <t>MF2606KJ1666-02--302(6/5)</t>
  </si>
  <si>
    <t>MF2606KJ1667-03--517(6/5)</t>
  </si>
  <si>
    <t>MF2606KJ1667-04--713(6/5)</t>
  </si>
  <si>
    <t>MF2606KZ9155-01--662(6/5)</t>
  </si>
  <si>
    <t>MF2603KJ7892-18--1320(5/29)</t>
  </si>
  <si>
    <t>MF2606KJ7844-02--600(6/5)</t>
  </si>
  <si>
    <t>MF2606KJ7844-03--450(6/5)</t>
  </si>
  <si>
    <t>MF2606KJ7845-01--600(6/5)</t>
    <phoneticPr fontId="48" type="noConversion"/>
  </si>
  <si>
    <t>MF2606KJ7845-02--600(6/5)</t>
  </si>
  <si>
    <t>MF2606KK3015-01--150(6/5)</t>
  </si>
  <si>
    <t>MF2606KK3015-02--500(6/5)</t>
  </si>
  <si>
    <t>MF2606KK3015-03--380(6/5)</t>
  </si>
  <si>
    <t>MF2606KK3018-01--310(6/5)</t>
  </si>
  <si>
    <t>MF2606KK3019-01--656(6/5)</t>
  </si>
  <si>
    <t>MF2606KK3019-02--301(6/5)日本</t>
  </si>
  <si>
    <t>MF2606KK3019-03--250(6/5)</t>
  </si>
  <si>
    <t>MF2606LA3255-01--1598(6/5)</t>
  </si>
  <si>
    <t>MF2606LA3255-02--1100(6/5)</t>
  </si>
  <si>
    <t>MF2606KI5241-02--310(6/5)</t>
  </si>
  <si>
    <t>MF2606KI5241-03--636(6/5)</t>
  </si>
  <si>
    <t>MF2606KI5241-01--613(6/13)日本</t>
  </si>
  <si>
    <t>MF2606KK3017-01--100(6/13)</t>
  </si>
  <si>
    <t>MF2606KK3021-01--779(6/13)日本</t>
  </si>
  <si>
    <t>MF2606KK3021-02--150(6/13)</t>
  </si>
  <si>
    <t>MF2606KK3033-01--384(6/13)日本</t>
  </si>
  <si>
    <t>MF2606KZ9163-05--350(6/5)</t>
  </si>
  <si>
    <t>ADISTAR XLG 2.0(21010/AD-72792/72793)</t>
    <phoneticPr fontId="0" type="noConversion"/>
  </si>
  <si>
    <t>MF2603KZ9155-49--4929(5/29)</t>
  </si>
  <si>
    <t>MF2604KZ9155-16--4119(5/29)</t>
    <phoneticPr fontId="48" type="noConversion"/>
  </si>
  <si>
    <t>MF2606KJ7895-04--290(6/5)</t>
  </si>
  <si>
    <t>MF2606KJ7895-05--338(6/5)</t>
  </si>
  <si>
    <t>115双</t>
  </si>
  <si>
    <t>MF2603KZ8301-02--6025(5/29)</t>
  </si>
  <si>
    <t>MF2603HQ7468-01--700(6/28)</t>
  </si>
  <si>
    <t>MF2603HQ7468-09--550(6/28)</t>
  </si>
  <si>
    <t>MF2603HQ7468-05--720(6/28)</t>
  </si>
  <si>
    <t>MF2603HQ7468-03-04--960-324(6/28)</t>
  </si>
  <si>
    <t>MF2603HQ7468-14--7697(5/29)</t>
  </si>
  <si>
    <r>
      <t>130</t>
    </r>
    <r>
      <rPr>
        <sz val="12"/>
        <rFont val="宋体"/>
        <family val="3"/>
        <charset val="134"/>
      </rPr>
      <t>双</t>
    </r>
  </si>
  <si>
    <t>MF2605LA7683-19--100(6/28)</t>
  </si>
  <si>
    <t>MF2605LA7683-11--669(6/5)</t>
  </si>
  <si>
    <t>MF2605LA7683-13--320(6/5)</t>
  </si>
  <si>
    <t>MF2605LA7683-18--505(6/5)</t>
  </si>
  <si>
    <t>MF2605LA7682-14--1848(6/5)</t>
  </si>
  <si>
    <t>MF2605KI7740-05--300(6/13)</t>
    <phoneticPr fontId="48" type="noConversion"/>
  </si>
  <si>
    <t>MF2605KI7740-06--100(6/13)</t>
    <phoneticPr fontId="48" type="noConversion"/>
  </si>
  <si>
    <t>MF2606KI0436-07--580(6/5)</t>
  </si>
  <si>
    <t>MF2606KI0436-11--624(6/5)</t>
  </si>
  <si>
    <t>MF2605LA7682-12-13--310-710(6/5)</t>
  </si>
  <si>
    <t>MF2605LA7682-15--330(6/5)</t>
  </si>
  <si>
    <t>MF2605LA7682-03--267(6/5)</t>
  </si>
  <si>
    <t>MF2605LA7682-09--300(6/5)</t>
  </si>
  <si>
    <t>MF2605LA7682-10--300(6/5)</t>
  </si>
  <si>
    <t>MF2605LA7682-11--370(6/5)</t>
  </si>
  <si>
    <t>MF2606LA7682-03--390(6/5)</t>
  </si>
  <si>
    <t>MF2605HQ7636-05--297(6/10)</t>
    <phoneticPr fontId="48" type="noConversion"/>
  </si>
  <si>
    <t>MF2605HQ7636-06--1660(6/10)</t>
    <phoneticPr fontId="48" type="noConversion"/>
  </si>
  <si>
    <t>MF2605HQ7636-07--300(6/10)</t>
    <phoneticPr fontId="48" type="noConversion"/>
  </si>
  <si>
    <t>MF2606KI0435-02--590(6/5)</t>
  </si>
  <si>
    <t>MF2606KI0435-04--169(6/5)</t>
  </si>
  <si>
    <t>MF2605KI7740-04--1519(6/13)</t>
  </si>
  <si>
    <t>MF2606IH6001-15--681(6/28)</t>
  </si>
  <si>
    <t>MF2606IH6001-16--3495(6/28)</t>
  </si>
  <si>
    <t>MF2606IH6001-17--5000(6/28)</t>
  </si>
  <si>
    <t>与3B共指令，只生产2500双</t>
  </si>
  <si>
    <t>与6C共指令，只生产2500双</t>
  </si>
  <si>
    <t>只生产2700双</t>
  </si>
  <si>
    <t>只生产1500双</t>
  </si>
  <si>
    <t>ADISTAR XLG 2.0 J(21010/AD-72792/72793)</t>
    <phoneticPr fontId="49" type="noConversion"/>
  </si>
  <si>
    <t>90双</t>
  </si>
  <si>
    <r>
      <t>7/3</t>
    </r>
    <r>
      <rPr>
        <b/>
        <sz val="13"/>
        <rFont val="宋体"/>
        <family val="3"/>
        <charset val="134"/>
      </rPr>
      <t>号完成总量</t>
    </r>
  </si>
  <si>
    <t>MF2606KJ7893-02--350(6/5)</t>
  </si>
  <si>
    <t>MF2603LA1814-02--4305(6/28)</t>
    <phoneticPr fontId="48" type="noConversion"/>
  </si>
  <si>
    <t>MF2605KZ9344-06--5000(6/28) 6/5</t>
    <phoneticPr fontId="48" type="noConversion"/>
  </si>
  <si>
    <t>MF2605KZ9344-10--1016(6/28) 6/11-20</t>
    <phoneticPr fontId="48" type="noConversion"/>
  </si>
  <si>
    <t>MF2606HQ7468-07--870(6/28) 6/18</t>
    <phoneticPr fontId="48" type="noConversion"/>
  </si>
  <si>
    <t>MF2605HQ7468-24--581(6/28) 6/15</t>
    <phoneticPr fontId="48" type="noConversion"/>
  </si>
  <si>
    <t>MF2605HQ7468-28--651(6/28) 6/17</t>
    <phoneticPr fontId="48" type="noConversion"/>
  </si>
  <si>
    <t>MF2605HQ7468-33--608(6/28) 6/17</t>
    <phoneticPr fontId="48" type="noConversion"/>
  </si>
  <si>
    <t>MF2606HQ7468-01--839(6/28) 6/18</t>
    <phoneticPr fontId="48" type="noConversion"/>
  </si>
  <si>
    <t>MF2605HQ7468-25--177(6/28) 6/19</t>
    <phoneticPr fontId="48" type="noConversion"/>
  </si>
  <si>
    <t>MF2605HQ7468-30--355(6/28) 6/19</t>
    <phoneticPr fontId="48" type="noConversion"/>
  </si>
  <si>
    <t>MF2606HQ7468-03--320(6/28) 6/19</t>
    <phoneticPr fontId="48" type="noConversion"/>
  </si>
  <si>
    <t>MF2605HQ7468-31--319(6/28) 6/19</t>
    <phoneticPr fontId="48" type="noConversion"/>
  </si>
  <si>
    <t>MF2605HQ7468-29--100(6/28) 6/19</t>
    <phoneticPr fontId="48" type="noConversion"/>
  </si>
  <si>
    <t>MF2605HQ7468-19--1711(6/28) 6/8</t>
    <phoneticPr fontId="48" type="noConversion"/>
  </si>
  <si>
    <t>MF2605HQ7468-20--1711(6/28) 6/11</t>
    <phoneticPr fontId="48" type="noConversion"/>
  </si>
  <si>
    <t>MF2603KK4234-16--780(6/28) OK</t>
    <phoneticPr fontId="48" type="noConversion"/>
  </si>
  <si>
    <t>MF2605KZ9163-09--372(6/28) 6/9</t>
    <phoneticPr fontId="48" type="noConversion"/>
  </si>
  <si>
    <t>MF2605KZ9163-10--574(6/28) 6/9</t>
    <phoneticPr fontId="48" type="noConversion"/>
  </si>
  <si>
    <t>MF2605KZ9163-11--1373(6/28) 6/9</t>
    <phoneticPr fontId="48" type="noConversion"/>
  </si>
  <si>
    <t>MF2606KZ9163-01--301(6/28) 6/9</t>
    <phoneticPr fontId="48" type="noConversion"/>
  </si>
  <si>
    <t>MF2606KZ9163-06--374(6/28) 6/9</t>
    <phoneticPr fontId="48" type="noConversion"/>
  </si>
  <si>
    <t>MF2606KZ9163-08--378(6/28) 6/9</t>
    <phoneticPr fontId="48" type="noConversion"/>
  </si>
  <si>
    <t>MF2606KZ9163-10--162(6/28) 6/9</t>
    <phoneticPr fontId="48" type="noConversion"/>
  </si>
  <si>
    <t>MF2606KZ9344-03--1780(6/28) 6/11-20</t>
    <phoneticPr fontId="48" type="noConversion"/>
  </si>
  <si>
    <t>MF2605HQ7468-32--4750(6/28) 6/13</t>
    <phoneticPr fontId="48" type="noConversion"/>
  </si>
  <si>
    <t>MF2605HQ7468-34--458(6/28)6/15</t>
    <phoneticPr fontId="48" type="noConversion"/>
  </si>
  <si>
    <t>MF2605HQ7468-21--1(6/28)6/15</t>
    <phoneticPr fontId="48" type="noConversion"/>
  </si>
  <si>
    <t>MF2604KZ6450-01--336(6/28) OK</t>
    <phoneticPr fontId="48" type="noConversion"/>
  </si>
  <si>
    <t>MF2604KZ6450-03--1800(6/28) OK</t>
    <phoneticPr fontId="48" type="noConversion"/>
  </si>
  <si>
    <t>MF2604KZ6450-02--450(6/28) OK</t>
    <phoneticPr fontId="48" type="noConversion"/>
  </si>
  <si>
    <t>MF2605KZ9161-06--2045(6/28) ?</t>
    <phoneticPr fontId="48" type="noConversion"/>
  </si>
  <si>
    <t>MF2606KZ9161-03--700(6/28) ?</t>
    <phoneticPr fontId="48" type="noConversion"/>
  </si>
  <si>
    <t>MF2606KK2705-01--2251(6/5)</t>
  </si>
  <si>
    <t>MF2606KK2575-02--904(6/5)</t>
  </si>
  <si>
    <t>MF2606KK2576-04--317(6/5)</t>
  </si>
  <si>
    <r>
      <rPr>
        <b/>
        <sz val="11"/>
        <color rgb="FF0000FF"/>
        <rFont val="宋体"/>
        <family val="3"/>
        <charset val="134"/>
      </rPr>
      <t>与</t>
    </r>
    <r>
      <rPr>
        <b/>
        <sz val="11"/>
        <color rgb="FF0000FF"/>
        <rFont val="Tahoma"/>
        <family val="2"/>
      </rPr>
      <t>11B1</t>
    </r>
    <r>
      <rPr>
        <b/>
        <sz val="11"/>
        <color rgb="FF0000FF"/>
        <rFont val="宋体"/>
        <family val="3"/>
        <charset val="134"/>
      </rPr>
      <t>共指令，只生产</t>
    </r>
    <r>
      <rPr>
        <b/>
        <sz val="11"/>
        <color rgb="FF0000FF"/>
        <rFont val="Tahoma"/>
        <family val="2"/>
      </rPr>
      <t>1611</t>
    </r>
    <r>
      <rPr>
        <b/>
        <sz val="11"/>
        <color rgb="FF0000FF"/>
        <rFont val="宋体"/>
        <family val="3"/>
        <charset val="134"/>
      </rPr>
      <t>双</t>
    </r>
    <phoneticPr fontId="48" type="noConversion"/>
  </si>
  <si>
    <t>MF2606KJ7510-02--1800(6/5)</t>
  </si>
  <si>
    <t>MF2606JI0182-03--310(6/5)</t>
  </si>
  <si>
    <t>MF2603HQ7468-07--1800(6/28)</t>
    <phoneticPr fontId="48" type="noConversion"/>
  </si>
  <si>
    <t>MF2603HQ7468-08--1992(6/28)</t>
  </si>
  <si>
    <t xml:space="preserve">MF2605KZ9344-01--306(6/28) </t>
  </si>
  <si>
    <t>MF2605KZ9344-02--330(6/28)</t>
  </si>
  <si>
    <t>MF2605KZ9344-03--444(6/28)</t>
  </si>
  <si>
    <t>MF2605KZ9344-04--360(6/28)</t>
  </si>
  <si>
    <t>MF2606KZ9344-01--432(6/28)</t>
  </si>
  <si>
    <t>MF2606KZ9344-02--935(6/28)</t>
  </si>
  <si>
    <t>MF2606KZ9344-04--1(6/28)</t>
  </si>
  <si>
    <t>MF2605KZ9344-05--5000(6/28)</t>
  </si>
  <si>
    <t>MF2605KZ9344-07--5000(6/28)</t>
  </si>
  <si>
    <t>MF2606KJ7893-06--3696(6/28) 6/18</t>
  </si>
  <si>
    <t>7/1号完成总量</t>
  </si>
  <si>
    <t>MF2605KJ7893-08--507(6/28)</t>
  </si>
  <si>
    <t>MF2605KJ7893-12--344(6/28)</t>
  </si>
  <si>
    <t>MF2605HQ7468-27--1717(6/28) 6/15</t>
  </si>
  <si>
    <t>MF2605HQ7468-23--173(6/28)</t>
  </si>
  <si>
    <t xml:space="preserve">5月Backlog </t>
  </si>
  <si>
    <t>MF2606KZ9161-02--5000(6/28)</t>
  </si>
  <si>
    <t>与2B共指令，只生产3500双</t>
  </si>
  <si>
    <t>只生产3000双</t>
  </si>
  <si>
    <t>只生产4697双</t>
  </si>
  <si>
    <t>原排5月进度</t>
  </si>
  <si>
    <t>MF2605KH9652-11--240(6/28)</t>
  </si>
  <si>
    <t>只生产800双</t>
  </si>
  <si>
    <t>只生产1065双</t>
  </si>
  <si>
    <t>只生产808双</t>
  </si>
  <si>
    <t>只生产999双</t>
  </si>
  <si>
    <t>只生产1000双</t>
  </si>
  <si>
    <t>DATE:2026.5.30</t>
  </si>
  <si>
    <t>MF2604KZ6449-01--2724(6/28)</t>
    <phoneticPr fontId="48" type="noConversion"/>
  </si>
  <si>
    <r>
      <rPr>
        <b/>
        <sz val="12"/>
        <color rgb="FF0000FF"/>
        <rFont val="宋体"/>
        <family val="3"/>
        <charset val="134"/>
      </rPr>
      <t>只生产</t>
    </r>
    <r>
      <rPr>
        <b/>
        <sz val="12"/>
        <color rgb="FF0000FF"/>
        <rFont val="Tahoma"/>
        <family val="2"/>
      </rPr>
      <t>3000</t>
    </r>
    <r>
      <rPr>
        <b/>
        <sz val="12"/>
        <color rgb="FF0000FF"/>
        <rFont val="宋体"/>
        <family val="3"/>
        <charset val="134"/>
      </rPr>
      <t>双</t>
    </r>
    <phoneticPr fontId="48" type="noConversion"/>
  </si>
  <si>
    <r>
      <rPr>
        <b/>
        <sz val="12"/>
        <color rgb="FF0000FF"/>
        <rFont val="宋体"/>
        <family val="3"/>
        <charset val="134"/>
      </rPr>
      <t>只生产</t>
    </r>
    <r>
      <rPr>
        <b/>
        <sz val="12"/>
        <color rgb="FF0000FF"/>
        <rFont val="Tahoma"/>
        <family val="2"/>
      </rPr>
      <t>1929</t>
    </r>
    <r>
      <rPr>
        <b/>
        <sz val="12"/>
        <color rgb="FF0000FF"/>
        <rFont val="宋体"/>
        <family val="3"/>
        <charset val="134"/>
      </rPr>
      <t>双</t>
    </r>
    <phoneticPr fontId="48" type="noConversion"/>
  </si>
  <si>
    <t>只生产3000双</t>
    <phoneticPr fontId="48" type="noConversion"/>
  </si>
  <si>
    <t>只生产2000双</t>
    <phoneticPr fontId="48" type="noConversion"/>
  </si>
  <si>
    <t>訂單數量</t>
    <phoneticPr fontId="72" type="noConversion"/>
  </si>
  <si>
    <r>
      <t>5</t>
    </r>
    <r>
      <rPr>
        <sz val="14"/>
        <rFont val="微軟正黑體"/>
        <family val="2"/>
        <charset val="136"/>
      </rPr>
      <t>月</t>
    </r>
    <r>
      <rPr>
        <sz val="14"/>
        <rFont val="Microsoft JhengHei UI"/>
        <family val="2"/>
        <charset val="134"/>
      </rPr>
      <t>30</t>
    </r>
    <phoneticPr fontId="72" type="noConversion"/>
  </si>
  <si>
    <t>小時排量</t>
    <phoneticPr fontId="72" type="noConversion"/>
  </si>
  <si>
    <t>完成時數</t>
    <phoneticPr fontId="72" type="noConversion"/>
  </si>
  <si>
    <t>完成日期</t>
    <phoneticPr fontId="72" type="noConversion"/>
  </si>
  <si>
    <t>月份</t>
    <phoneticPr fontId="72" type="noConversion"/>
  </si>
  <si>
    <t>日期</t>
    <phoneticPr fontId="72" type="noConversion"/>
  </si>
  <si>
    <t>總排量</t>
    <phoneticPr fontId="72" type="noConversion"/>
  </si>
  <si>
    <t>工作時數</t>
    <phoneticPr fontId="72" type="noConversion"/>
  </si>
  <si>
    <t>ART</t>
    <phoneticPr fontId="72" type="noConversion"/>
  </si>
  <si>
    <t>排程累積工作時數</t>
    <phoneticPr fontId="72" type="noConversion"/>
  </si>
  <si>
    <t>實際累積時數</t>
    <phoneticPr fontId="72" type="noConversion"/>
  </si>
  <si>
    <t>排程累積工作時數對比實際累積時數，就可以知道，每一張單，在何時完成</t>
    <phoneticPr fontId="72" type="noConversion"/>
  </si>
  <si>
    <r>
      <t>6</t>
    </r>
    <r>
      <rPr>
        <sz val="14"/>
        <rFont val="微軟正黑體"/>
        <family val="2"/>
        <charset val="136"/>
      </rPr>
      <t>月</t>
    </r>
    <r>
      <rPr>
        <sz val="14"/>
        <rFont val="Microsoft JhengHei UI"/>
        <family val="2"/>
        <charset val="134"/>
      </rPr>
      <t>1日</t>
    </r>
    <phoneticPr fontId="72" type="noConversion"/>
  </si>
  <si>
    <r>
      <t>6</t>
    </r>
    <r>
      <rPr>
        <sz val="14"/>
        <rFont val="微軟正黑體"/>
        <family val="2"/>
        <charset val="136"/>
      </rPr>
      <t>月</t>
    </r>
    <r>
      <rPr>
        <sz val="14"/>
        <rFont val="Microsoft JhengHei UI"/>
        <family val="2"/>
        <charset val="134"/>
      </rPr>
      <t>2日</t>
    </r>
    <r>
      <rPr>
        <sz val="12"/>
        <color theme="1"/>
        <rFont val="新細明體"/>
        <family val="2"/>
        <charset val="136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</si>
</sst>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_ * #,##0.00_ ;_ * \-#,##0.00_ ;_ * &quot;-&quot;??_ ;_ @_ "/>
    <numFmt numFmtId="177" formatCode="#,##0.000"/>
    <numFmt numFmtId="178" formatCode="[$-404]General"/>
    <numFmt numFmtId="179" formatCode="@&quot;日&quot;&quot;本&quot;"/>
    <numFmt numFmtId="180" formatCode="@&quot;中&quot;&quot;国&quot;"/>
    <numFmt numFmtId="181" formatCode="@&quot;外包鞋面 &quot;"/>
    <numFmt numFmtId="182" formatCode="@&quot;外&quot;&quot;包&quot;&quot;鞋&quot;&quot;面&quot;"/>
  </numFmts>
  <fonts count="77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2"/>
      <color theme="1"/>
      <name val="新細明體"/>
      <family val="3"/>
      <charset val="134"/>
      <scheme val="minor"/>
    </font>
    <font>
      <sz val="11"/>
      <color theme="1"/>
      <name val="新細明體"/>
      <family val="3"/>
      <charset val="134"/>
      <scheme val="minor"/>
    </font>
    <font>
      <sz val="10"/>
      <color indexed="8"/>
      <name val="Arial"/>
      <family val="2"/>
    </font>
    <font>
      <sz val="12"/>
      <name val="新細明體"/>
      <family val="1"/>
      <charset val="136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sz val="10"/>
      <color rgb="FF000000"/>
      <name val="Arial"/>
      <family val="2"/>
    </font>
    <font>
      <sz val="10"/>
      <name val="VNI-Times"/>
    </font>
    <font>
      <sz val="10"/>
      <color theme="1"/>
      <name val="Century Gothic"/>
      <family val="2"/>
    </font>
    <font>
      <sz val="10"/>
      <color theme="0"/>
      <name val="Century Gothic"/>
      <family val="2"/>
    </font>
    <font>
      <sz val="10"/>
      <color rgb="FF9C0006"/>
      <name val="Century Gothic"/>
      <family val="2"/>
    </font>
    <font>
      <b/>
      <sz val="10"/>
      <color rgb="FFFA7D00"/>
      <name val="Century Gothic"/>
      <family val="2"/>
    </font>
    <font>
      <b/>
      <sz val="10"/>
      <color theme="0"/>
      <name val="Century Gothic"/>
      <family val="2"/>
    </font>
    <font>
      <sz val="12"/>
      <color theme="1"/>
      <name val="新細明體"/>
      <family val="1"/>
      <charset val="136"/>
    </font>
    <font>
      <i/>
      <sz val="10"/>
      <color rgb="FF7F7F7F"/>
      <name val="Century Gothic"/>
      <family val="2"/>
    </font>
    <font>
      <sz val="10"/>
      <color rgb="FF006100"/>
      <name val="Century Gothic"/>
      <family val="2"/>
    </font>
    <font>
      <b/>
      <sz val="15"/>
      <color theme="3"/>
      <name val="Century Gothic"/>
      <family val="2"/>
    </font>
    <font>
      <b/>
      <sz val="13"/>
      <color theme="3"/>
      <name val="Century Gothic"/>
      <family val="2"/>
    </font>
    <font>
      <b/>
      <sz val="11"/>
      <color theme="3"/>
      <name val="Century Gothic"/>
      <family val="2"/>
    </font>
    <font>
      <sz val="10"/>
      <color rgb="FF3F3F76"/>
      <name val="Century Gothic"/>
      <family val="2"/>
    </font>
    <font>
      <sz val="10"/>
      <color rgb="FFFA7D00"/>
      <name val="Century Gothic"/>
      <family val="2"/>
    </font>
    <font>
      <sz val="10"/>
      <color rgb="FF9C6500"/>
      <name val="Century Gothic"/>
      <family val="2"/>
    </font>
    <font>
      <sz val="11"/>
      <color theme="1"/>
      <name val="新細明體"/>
      <family val="1"/>
      <charset val="136"/>
    </font>
    <font>
      <b/>
      <sz val="10"/>
      <color rgb="FF3F3F3F"/>
      <name val="Century Gothic"/>
      <family val="2"/>
    </font>
    <font>
      <b/>
      <sz val="18"/>
      <color theme="3"/>
      <name val="新細明體"/>
      <family val="3"/>
      <charset val="134"/>
      <scheme val="major"/>
    </font>
    <font>
      <b/>
      <sz val="10"/>
      <color theme="1"/>
      <name val="Century Gothic"/>
      <family val="2"/>
    </font>
    <font>
      <sz val="10"/>
      <color rgb="FFFF0000"/>
      <name val="Century Gothic"/>
      <family val="2"/>
    </font>
    <font>
      <sz val="12"/>
      <name val="宋体"/>
      <family val="2"/>
      <charset val="134"/>
    </font>
    <font>
      <sz val="12"/>
      <color theme="1"/>
      <name val="新細明體"/>
      <family val="2"/>
      <charset val="136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8"/>
      <name val="Tahoma"/>
      <family val="2"/>
    </font>
    <font>
      <b/>
      <sz val="12"/>
      <name val="Tahoma"/>
      <family val="2"/>
    </font>
    <font>
      <sz val="18"/>
      <name val="Tahoma"/>
      <family val="2"/>
    </font>
    <font>
      <b/>
      <sz val="11"/>
      <name val="Tahoma"/>
      <family val="2"/>
    </font>
    <font>
      <sz val="12"/>
      <name val="Tahoma"/>
      <family val="2"/>
    </font>
    <font>
      <sz val="13"/>
      <name val="Tahoma"/>
      <family val="2"/>
    </font>
    <font>
      <b/>
      <sz val="13"/>
      <name val="Tahoma"/>
      <family val="2"/>
    </font>
    <font>
      <b/>
      <sz val="14"/>
      <name val="Tahoma"/>
      <family val="2"/>
    </font>
    <font>
      <sz val="14"/>
      <name val="Tahoma"/>
      <family val="2"/>
    </font>
    <font>
      <b/>
      <sz val="10"/>
      <name val="Tahoma"/>
      <family val="2"/>
    </font>
    <font>
      <sz val="9"/>
      <name val="新細明體"/>
      <family val="3"/>
      <charset val="134"/>
      <scheme val="minor"/>
    </font>
    <font>
      <sz val="11"/>
      <name val="Tahoma"/>
      <family val="2"/>
    </font>
    <font>
      <sz val="14"/>
      <color rgb="FF7030A0"/>
      <name val="Tahoma"/>
      <family val="2"/>
    </font>
    <font>
      <b/>
      <sz val="13"/>
      <color rgb="FFFF0000"/>
      <name val="Tahoma"/>
      <family val="2"/>
    </font>
    <font>
      <sz val="14"/>
      <color rgb="FFFF0000"/>
      <name val="Tahoma"/>
      <family val="2"/>
    </font>
    <font>
      <sz val="14"/>
      <name val="宋体"/>
      <family val="3"/>
      <charset val="134"/>
    </font>
    <font>
      <sz val="12"/>
      <color rgb="FFFF0000"/>
      <name val="Tahoma"/>
      <family val="2"/>
    </font>
    <font>
      <sz val="14"/>
      <color rgb="FF0000FF"/>
      <name val="Tahoma"/>
      <family val="2"/>
    </font>
    <font>
      <b/>
      <sz val="12"/>
      <color rgb="FF0000FF"/>
      <name val="Tahoma"/>
      <family val="2"/>
    </font>
    <font>
      <b/>
      <sz val="11"/>
      <color rgb="FF0000FF"/>
      <name val="Tahoma"/>
      <family val="2"/>
    </font>
    <font>
      <b/>
      <sz val="13"/>
      <name val="宋体"/>
      <family val="3"/>
      <charset val="134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b/>
      <sz val="13"/>
      <color rgb="FF00B050"/>
      <name val="Tahoma"/>
      <family val="2"/>
    </font>
    <font>
      <b/>
      <sz val="12"/>
      <color rgb="FF00B050"/>
      <name val="Tahoma"/>
      <family val="2"/>
    </font>
    <font>
      <b/>
      <sz val="12"/>
      <color rgb="FF00B050"/>
      <name val="宋体"/>
      <family val="3"/>
      <charset val="134"/>
    </font>
    <font>
      <b/>
      <sz val="10"/>
      <color rgb="FF0000FF"/>
      <name val="Tahoma"/>
      <family val="2"/>
    </font>
    <font>
      <b/>
      <sz val="10"/>
      <color rgb="FF0000FF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12"/>
      <color rgb="FF0000FF"/>
      <name val="Tahoma"/>
      <family val="2"/>
    </font>
    <font>
      <b/>
      <sz val="12"/>
      <color rgb="FFFF0000"/>
      <name val="Calibri"/>
      <family val="2"/>
    </font>
    <font>
      <b/>
      <sz val="12"/>
      <color rgb="FFFF0000"/>
      <name val="宋体"/>
      <family val="3"/>
      <charset val="134"/>
    </font>
    <font>
      <b/>
      <sz val="12"/>
      <color rgb="FFFF0000"/>
      <name val="Tahoma"/>
      <family val="2"/>
    </font>
    <font>
      <b/>
      <sz val="12"/>
      <color rgb="FF0000FF"/>
      <name val="宋体"/>
      <family val="3"/>
      <charset val="134"/>
    </font>
    <font>
      <sz val="9"/>
      <name val="新細明體"/>
      <family val="3"/>
      <charset val="136"/>
      <scheme val="minor"/>
    </font>
    <font>
      <sz val="14"/>
      <name val="微軟正黑體"/>
      <family val="2"/>
      <charset val="136"/>
    </font>
    <font>
      <sz val="11"/>
      <color theme="1"/>
      <name val="Microsoft JhengHei UI"/>
      <family val="2"/>
      <charset val="134"/>
    </font>
    <font>
      <sz val="11"/>
      <color theme="1"/>
      <name val="Microsoft JhengHei UI"/>
      <family val="2"/>
      <charset val="136"/>
    </font>
    <font>
      <sz val="14"/>
      <name val="Microsoft JhengHei UI"/>
      <family val="2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3">
    <xf numFmtId="178" fontId="0" fillId="0" borderId="0"/>
    <xf numFmtId="178" fontId="4" fillId="0" borderId="0">
      <alignment vertical="top"/>
    </xf>
    <xf numFmtId="178" fontId="3" fillId="0" borderId="0"/>
    <xf numFmtId="178" fontId="4" fillId="0" borderId="0"/>
    <xf numFmtId="178" fontId="3" fillId="0" borderId="0"/>
    <xf numFmtId="178" fontId="6" fillId="0" borderId="0"/>
    <xf numFmtId="178" fontId="3" fillId="0" borderId="0"/>
    <xf numFmtId="178" fontId="7" fillId="0" borderId="0">
      <alignment vertical="center"/>
    </xf>
    <xf numFmtId="178" fontId="8" fillId="0" borderId="0"/>
    <xf numFmtId="178" fontId="2" fillId="0" borderId="0"/>
    <xf numFmtId="178" fontId="4" fillId="0" borderId="0"/>
    <xf numFmtId="178" fontId="4" fillId="0" borderId="0"/>
    <xf numFmtId="178" fontId="9" fillId="0" borderId="0">
      <alignment vertical="top"/>
    </xf>
    <xf numFmtId="178" fontId="4" fillId="0" borderId="0">
      <alignment vertical="center"/>
    </xf>
    <xf numFmtId="178" fontId="5" fillId="0" borderId="0"/>
    <xf numFmtId="178" fontId="3" fillId="0" borderId="0"/>
    <xf numFmtId="178" fontId="11" fillId="0" borderId="0"/>
    <xf numFmtId="178" fontId="12" fillId="10" borderId="26" applyNumberFormat="0" applyAlignment="0" applyProtection="0"/>
    <xf numFmtId="178" fontId="5" fillId="0" borderId="0"/>
    <xf numFmtId="178" fontId="11" fillId="0" borderId="0"/>
    <xf numFmtId="178" fontId="10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15" fillId="13" borderId="0" applyNumberFormat="0" applyBorder="0" applyAlignment="0" applyProtection="0"/>
    <xf numFmtId="178" fontId="15" fillId="17" borderId="0" applyNumberFormat="0" applyBorder="0" applyAlignment="0" applyProtection="0"/>
    <xf numFmtId="178" fontId="15" fillId="21" borderId="0" applyNumberFormat="0" applyBorder="0" applyAlignment="0" applyProtection="0"/>
    <xf numFmtId="178" fontId="15" fillId="25" borderId="0" applyNumberFormat="0" applyBorder="0" applyAlignment="0" applyProtection="0"/>
    <xf numFmtId="178" fontId="15" fillId="29" borderId="0" applyNumberFormat="0" applyBorder="0" applyAlignment="0" applyProtection="0"/>
    <xf numFmtId="178" fontId="15" fillId="33" borderId="0" applyNumberFormat="0" applyBorder="0" applyAlignment="0" applyProtection="0"/>
    <xf numFmtId="178" fontId="5" fillId="0" borderId="0"/>
    <xf numFmtId="178" fontId="14" fillId="0" borderId="0"/>
    <xf numFmtId="178" fontId="15" fillId="14" borderId="0" applyNumberFormat="0" applyBorder="0" applyAlignment="0" applyProtection="0"/>
    <xf numFmtId="178" fontId="15" fillId="18" borderId="0" applyNumberFormat="0" applyBorder="0" applyAlignment="0" applyProtection="0"/>
    <xf numFmtId="178" fontId="15" fillId="22" borderId="0" applyNumberFormat="0" applyBorder="0" applyAlignment="0" applyProtection="0"/>
    <xf numFmtId="178" fontId="15" fillId="26" borderId="0" applyNumberFormat="0" applyBorder="0" applyAlignment="0" applyProtection="0"/>
    <xf numFmtId="178" fontId="15" fillId="30" borderId="0" applyNumberFormat="0" applyBorder="0" applyAlignment="0" applyProtection="0"/>
    <xf numFmtId="178" fontId="15" fillId="34" borderId="0" applyNumberFormat="0" applyBorder="0" applyAlignment="0" applyProtection="0"/>
    <xf numFmtId="178" fontId="16" fillId="15" borderId="0" applyNumberFormat="0" applyBorder="0" applyAlignment="0" applyProtection="0"/>
    <xf numFmtId="178" fontId="16" fillId="19" borderId="0" applyNumberFormat="0" applyBorder="0" applyAlignment="0" applyProtection="0"/>
    <xf numFmtId="178" fontId="16" fillId="23" borderId="0" applyNumberFormat="0" applyBorder="0" applyAlignment="0" applyProtection="0"/>
    <xf numFmtId="178" fontId="16" fillId="27" borderId="0" applyNumberFormat="0" applyBorder="0" applyAlignment="0" applyProtection="0"/>
    <xf numFmtId="178" fontId="16" fillId="31" borderId="0" applyNumberFormat="0" applyBorder="0" applyAlignment="0" applyProtection="0"/>
    <xf numFmtId="178" fontId="16" fillId="35" borderId="0" applyNumberFormat="0" applyBorder="0" applyAlignment="0" applyProtection="0"/>
    <xf numFmtId="178" fontId="16" fillId="12" borderId="0" applyNumberFormat="0" applyBorder="0" applyAlignment="0" applyProtection="0"/>
    <xf numFmtId="178" fontId="16" fillId="16" borderId="0" applyNumberFormat="0" applyBorder="0" applyAlignment="0" applyProtection="0"/>
    <xf numFmtId="178" fontId="16" fillId="20" borderId="0" applyNumberFormat="0" applyBorder="0" applyAlignment="0" applyProtection="0"/>
    <xf numFmtId="178" fontId="16" fillId="24" borderId="0" applyNumberFormat="0" applyBorder="0" applyAlignment="0" applyProtection="0"/>
    <xf numFmtId="178" fontId="16" fillId="28" borderId="0" applyNumberFormat="0" applyBorder="0" applyAlignment="0" applyProtection="0"/>
    <xf numFmtId="178" fontId="16" fillId="32" borderId="0" applyNumberFormat="0" applyBorder="0" applyAlignment="0" applyProtection="0"/>
    <xf numFmtId="178" fontId="17" fillId="6" borderId="0" applyNumberFormat="0" applyBorder="0" applyAlignment="0" applyProtection="0"/>
    <xf numFmtId="178" fontId="18" fillId="9" borderId="23" applyNumberFormat="0" applyAlignment="0" applyProtection="0"/>
    <xf numFmtId="178" fontId="19" fillId="10" borderId="26" applyNumberFormat="0" applyAlignment="0" applyProtection="0"/>
    <xf numFmtId="17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8" fontId="20" fillId="0" borderId="0"/>
    <xf numFmtId="178" fontId="21" fillId="0" borderId="0" applyNumberFormat="0" applyFill="0" applyBorder="0" applyAlignment="0" applyProtection="0"/>
    <xf numFmtId="178" fontId="22" fillId="5" borderId="0" applyNumberFormat="0" applyBorder="0" applyAlignment="0" applyProtection="0"/>
    <xf numFmtId="178" fontId="23" fillId="0" borderId="20" applyNumberFormat="0" applyFill="0" applyAlignment="0" applyProtection="0"/>
    <xf numFmtId="178" fontId="24" fillId="0" borderId="21" applyNumberFormat="0" applyFill="0" applyAlignment="0" applyProtection="0"/>
    <xf numFmtId="178" fontId="25" fillId="0" borderId="22" applyNumberFormat="0" applyFill="0" applyAlignment="0" applyProtection="0"/>
    <xf numFmtId="178" fontId="25" fillId="0" borderId="0" applyNumberFormat="0" applyFill="0" applyBorder="0" applyAlignment="0" applyProtection="0"/>
    <xf numFmtId="178" fontId="26" fillId="8" borderId="23" applyNumberFormat="0" applyAlignment="0" applyProtection="0"/>
    <xf numFmtId="178" fontId="27" fillId="0" borderId="25" applyNumberFormat="0" applyFill="0" applyAlignment="0" applyProtection="0"/>
    <xf numFmtId="178" fontId="28" fillId="7" borderId="0" applyNumberFormat="0" applyBorder="0" applyAlignment="0" applyProtection="0"/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5" fillId="0" borderId="0"/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5" fillId="0" borderId="0"/>
    <xf numFmtId="178" fontId="5" fillId="0" borderId="0"/>
    <xf numFmtId="178" fontId="29" fillId="0" borderId="0"/>
    <xf numFmtId="178" fontId="29" fillId="0" borderId="0"/>
    <xf numFmtId="178" fontId="9" fillId="0" borderId="0">
      <alignment vertical="top"/>
    </xf>
    <xf numFmtId="178" fontId="8" fillId="0" borderId="0"/>
    <xf numFmtId="178" fontId="8" fillId="0" borderId="0"/>
    <xf numFmtId="178" fontId="8" fillId="0" borderId="0"/>
    <xf numFmtId="178" fontId="4" fillId="0" borderId="0">
      <alignment vertical="center"/>
    </xf>
    <xf numFmtId="178" fontId="10" fillId="0" borderId="0"/>
    <xf numFmtId="178" fontId="10" fillId="0" borderId="0"/>
    <xf numFmtId="178" fontId="4" fillId="0" borderId="0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8" fontId="29" fillId="0" borderId="0"/>
    <xf numFmtId="178" fontId="8" fillId="0" borderId="0"/>
    <xf numFmtId="178" fontId="8" fillId="0" borderId="0"/>
    <xf numFmtId="178" fontId="10" fillId="0" borderId="0"/>
    <xf numFmtId="178" fontId="10" fillId="0" borderId="0"/>
    <xf numFmtId="178" fontId="13" fillId="0" borderId="0"/>
    <xf numFmtId="178" fontId="13" fillId="0" borderId="0"/>
    <xf numFmtId="178" fontId="13" fillId="0" borderId="0"/>
    <xf numFmtId="178" fontId="13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5" fillId="0" borderId="0"/>
    <xf numFmtId="178" fontId="5" fillId="0" borderId="0"/>
    <xf numFmtId="178" fontId="5" fillId="0" borderId="0"/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8" fillId="0" borderId="0"/>
    <xf numFmtId="178" fontId="4" fillId="0" borderId="0"/>
    <xf numFmtId="178" fontId="5" fillId="0" borderId="0"/>
    <xf numFmtId="178" fontId="5" fillId="0" borderId="0"/>
    <xf numFmtId="178" fontId="5" fillId="0" borderId="0"/>
    <xf numFmtId="178" fontId="29" fillId="0" borderId="0"/>
    <xf numFmtId="178" fontId="29" fillId="0" borderId="0"/>
    <xf numFmtId="178" fontId="29" fillId="0" borderId="0"/>
    <xf numFmtId="178" fontId="29" fillId="0" borderId="0"/>
    <xf numFmtId="178" fontId="29" fillId="0" borderId="0"/>
    <xf numFmtId="178" fontId="10" fillId="0" borderId="0"/>
    <xf numFmtId="178" fontId="5" fillId="0" borderId="0"/>
    <xf numFmtId="178" fontId="5" fillId="0" borderId="0"/>
    <xf numFmtId="178" fontId="29" fillId="0" borderId="0"/>
    <xf numFmtId="178" fontId="13" fillId="0" borderId="0"/>
    <xf numFmtId="178" fontId="13" fillId="0" borderId="0"/>
    <xf numFmtId="178" fontId="10" fillId="0" borderId="0"/>
    <xf numFmtId="178" fontId="10" fillId="0" borderId="0"/>
    <xf numFmtId="178" fontId="15" fillId="11" borderId="27" applyNumberFormat="0" applyFont="0" applyAlignment="0" applyProtection="0"/>
    <xf numFmtId="178" fontId="30" fillId="9" borderId="24" applyNumberFormat="0" applyAlignment="0" applyProtection="0"/>
    <xf numFmtId="178" fontId="5" fillId="0" borderId="0"/>
    <xf numFmtId="178" fontId="9" fillId="0" borderId="0">
      <alignment vertical="top"/>
    </xf>
    <xf numFmtId="178" fontId="31" fillId="0" borderId="0" applyNumberFormat="0" applyFill="0" applyBorder="0" applyAlignment="0" applyProtection="0"/>
    <xf numFmtId="178" fontId="31" fillId="0" borderId="0" applyNumberFormat="0" applyFill="0" applyBorder="0" applyAlignment="0" applyProtection="0"/>
    <xf numFmtId="178" fontId="31" fillId="0" borderId="0" applyNumberFormat="0" applyFill="0" applyBorder="0" applyAlignment="0" applyProtection="0"/>
    <xf numFmtId="178" fontId="31" fillId="0" borderId="0" applyNumberFormat="0" applyFill="0" applyBorder="0" applyAlignment="0" applyProtection="0"/>
    <xf numFmtId="178" fontId="31" fillId="0" borderId="0" applyNumberFormat="0" applyFill="0" applyBorder="0" applyAlignment="0" applyProtection="0"/>
    <xf numFmtId="178" fontId="32" fillId="0" borderId="28" applyNumberFormat="0" applyFill="0" applyAlignment="0" applyProtection="0"/>
    <xf numFmtId="178" fontId="33" fillId="0" borderId="0" applyNumberFormat="0" applyFill="0" applyBorder="0" applyAlignment="0" applyProtection="0"/>
    <xf numFmtId="176" fontId="10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4" fillId="0" borderId="0">
      <alignment vertical="center"/>
    </xf>
    <xf numFmtId="178" fontId="4" fillId="0" borderId="0">
      <alignment vertical="center"/>
    </xf>
    <xf numFmtId="178" fontId="4" fillId="0" borderId="0"/>
    <xf numFmtId="178" fontId="4" fillId="0" borderId="0">
      <alignment vertical="center"/>
    </xf>
    <xf numFmtId="178" fontId="4" fillId="0" borderId="0"/>
    <xf numFmtId="178" fontId="4" fillId="0" borderId="0"/>
    <xf numFmtId="178" fontId="4" fillId="0" borderId="0">
      <alignment vertical="center"/>
    </xf>
    <xf numFmtId="178" fontId="3" fillId="0" borderId="0"/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2" fillId="0" borderId="0">
      <alignment vertical="center"/>
    </xf>
    <xf numFmtId="178" fontId="10" fillId="0" borderId="0"/>
    <xf numFmtId="178" fontId="9" fillId="0" borderId="0">
      <alignment vertical="top"/>
    </xf>
    <xf numFmtId="178" fontId="9" fillId="0" borderId="0">
      <alignment vertical="top"/>
    </xf>
    <xf numFmtId="178" fontId="2" fillId="0" borderId="0"/>
    <xf numFmtId="178" fontId="4" fillId="0" borderId="0">
      <alignment vertical="center"/>
    </xf>
    <xf numFmtId="17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6" fontId="10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10" fillId="0" borderId="0"/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8" fontId="3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7" fontId="4" fillId="0" borderId="0"/>
    <xf numFmtId="178" fontId="3" fillId="0" borderId="0"/>
    <xf numFmtId="178" fontId="5" fillId="0" borderId="0"/>
    <xf numFmtId="178" fontId="3" fillId="0" borderId="0" applyNumberFormat="0" applyFont="0" applyFill="0" applyBorder="0" applyProtection="0"/>
    <xf numFmtId="178" fontId="34" fillId="0" borderId="0">
      <alignment vertical="center"/>
    </xf>
    <xf numFmtId="178" fontId="4" fillId="0" borderId="0">
      <alignment vertical="center"/>
    </xf>
    <xf numFmtId="178" fontId="4" fillId="0" borderId="0"/>
    <xf numFmtId="177" fontId="4" fillId="0" borderId="0"/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/>
    <xf numFmtId="178" fontId="4" fillId="0" borderId="0">
      <alignment vertical="center"/>
    </xf>
    <xf numFmtId="178" fontId="4" fillId="0" borderId="0"/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4" fillId="0" borderId="0">
      <alignment vertical="center"/>
    </xf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6" fontId="2" fillId="0" borderId="0" applyFont="0" applyFill="0" applyBorder="0" applyAlignment="0" applyProtection="0">
      <alignment vertical="center"/>
    </xf>
    <xf numFmtId="178" fontId="2" fillId="0" borderId="0"/>
    <xf numFmtId="178" fontId="2" fillId="0" borderId="0">
      <alignment vertical="center"/>
    </xf>
    <xf numFmtId="178" fontId="2" fillId="0" borderId="0"/>
    <xf numFmtId="178" fontId="4" fillId="0" borderId="0">
      <alignment vertical="center"/>
    </xf>
    <xf numFmtId="178" fontId="4" fillId="0" borderId="0"/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/>
    <xf numFmtId="178" fontId="4" fillId="0" borderId="0">
      <alignment vertical="center"/>
    </xf>
    <xf numFmtId="178" fontId="4" fillId="0" borderId="0"/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78" fontId="10" fillId="0" borderId="0"/>
    <xf numFmtId="178" fontId="35" fillId="0" borderId="0">
      <alignment vertical="center"/>
    </xf>
    <xf numFmtId="43" fontId="10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178" fontId="3" fillId="0" borderId="0"/>
    <xf numFmtId="178" fontId="4" fillId="0" borderId="0">
      <alignment vertical="top"/>
    </xf>
    <xf numFmtId="178" fontId="3" fillId="0" borderId="0"/>
    <xf numFmtId="178" fontId="3" fillId="0" borderId="0"/>
    <xf numFmtId="178" fontId="4" fillId="0" borderId="0"/>
    <xf numFmtId="178" fontId="3" fillId="0" borderId="0"/>
    <xf numFmtId="178" fontId="7" fillId="0" borderId="0">
      <alignment vertical="center"/>
    </xf>
    <xf numFmtId="178" fontId="8" fillId="0" borderId="0"/>
    <xf numFmtId="178" fontId="4" fillId="0" borderId="0"/>
    <xf numFmtId="178" fontId="5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6" fillId="0" borderId="0"/>
    <xf numFmtId="178" fontId="3" fillId="0" borderId="0"/>
    <xf numFmtId="178" fontId="3" fillId="0" borderId="0"/>
    <xf numFmtId="178" fontId="4" fillId="0" borderId="0">
      <alignment vertical="top"/>
    </xf>
    <xf numFmtId="178" fontId="37" fillId="0" borderId="0"/>
    <xf numFmtId="178" fontId="4" fillId="0" borderId="0"/>
    <xf numFmtId="178" fontId="4" fillId="0" borderId="0"/>
    <xf numFmtId="178" fontId="4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5" fillId="0" borderId="0"/>
    <xf numFmtId="178" fontId="4" fillId="0" borderId="0">
      <alignment vertical="top"/>
    </xf>
    <xf numFmtId="178" fontId="3" fillId="0" borderId="0"/>
    <xf numFmtId="178" fontId="3" fillId="0" borderId="0"/>
    <xf numFmtId="178" fontId="11" fillId="0" borderId="0"/>
  </cellStyleXfs>
  <cellXfs count="260">
    <xf numFmtId="178" fontId="0" fillId="0" borderId="0" xfId="0"/>
    <xf numFmtId="178" fontId="38" fillId="2" borderId="0" xfId="0" applyNumberFormat="1" applyFont="1" applyFill="1" applyBorder="1" applyAlignment="1">
      <alignment horizontal="left"/>
    </xf>
    <xf numFmtId="178" fontId="39" fillId="4" borderId="1" xfId="444" applyNumberFormat="1" applyFont="1" applyFill="1" applyBorder="1" applyAlignment="1">
      <alignment horizontal="center" vertical="center"/>
    </xf>
    <xf numFmtId="178" fontId="39" fillId="2" borderId="0" xfId="0" applyNumberFormat="1" applyFont="1" applyFill="1" applyBorder="1" applyAlignment="1"/>
    <xf numFmtId="178" fontId="40" fillId="2" borderId="0" xfId="0" applyNumberFormat="1" applyFont="1" applyFill="1" applyAlignment="1"/>
    <xf numFmtId="178" fontId="41" fillId="2" borderId="0" xfId="0" applyNumberFormat="1" applyFont="1" applyFill="1" applyBorder="1" applyAlignment="1">
      <alignment horizontal="left"/>
    </xf>
    <xf numFmtId="178" fontId="40" fillId="2" borderId="0" xfId="0" applyNumberFormat="1" applyFont="1" applyFill="1" applyAlignment="1">
      <alignment horizontal="center"/>
    </xf>
    <xf numFmtId="178" fontId="38" fillId="2" borderId="0" xfId="0" applyNumberFormat="1" applyFont="1" applyFill="1" applyBorder="1" applyAlignment="1">
      <alignment horizontal="center"/>
    </xf>
    <xf numFmtId="178" fontId="39" fillId="2" borderId="1" xfId="444" applyNumberFormat="1" applyFont="1" applyFill="1" applyBorder="1" applyAlignment="1">
      <alignment horizontal="center" vertical="center"/>
    </xf>
    <xf numFmtId="178" fontId="39" fillId="2" borderId="12" xfId="444" applyNumberFormat="1" applyFont="1" applyFill="1" applyBorder="1" applyAlignment="1">
      <alignment vertical="center"/>
    </xf>
    <xf numFmtId="178" fontId="39" fillId="2" borderId="5" xfId="444" applyNumberFormat="1" applyFont="1" applyFill="1" applyBorder="1" applyAlignment="1">
      <alignment vertical="center"/>
    </xf>
    <xf numFmtId="178" fontId="42" fillId="0" borderId="0" xfId="444" applyNumberFormat="1" applyFont="1" applyAlignment="1">
      <alignment horizontal="center" vertical="center"/>
    </xf>
    <xf numFmtId="178" fontId="39" fillId="0" borderId="1" xfId="444" applyNumberFormat="1" applyFont="1" applyBorder="1" applyAlignment="1">
      <alignment horizontal="center" vertical="center"/>
    </xf>
    <xf numFmtId="178" fontId="39" fillId="2" borderId="2" xfId="444" applyNumberFormat="1" applyFont="1" applyFill="1" applyBorder="1" applyAlignment="1">
      <alignment horizontal="center" vertical="center"/>
    </xf>
    <xf numFmtId="178" fontId="39" fillId="3" borderId="2" xfId="444" applyNumberFormat="1" applyFont="1" applyFill="1" applyBorder="1" applyAlignment="1">
      <alignment horizontal="center" vertical="center"/>
    </xf>
    <xf numFmtId="178" fontId="39" fillId="0" borderId="2" xfId="444" applyNumberFormat="1" applyFont="1" applyFill="1" applyBorder="1" applyAlignment="1">
      <alignment horizontal="center" vertical="center"/>
    </xf>
    <xf numFmtId="178" fontId="43" fillId="2" borderId="2" xfId="444" applyNumberFormat="1" applyFont="1" applyFill="1" applyBorder="1" applyAlignment="1">
      <alignment horizontal="center"/>
    </xf>
    <xf numFmtId="178" fontId="39" fillId="0" borderId="0" xfId="444" applyNumberFormat="1" applyFont="1" applyAlignment="1">
      <alignment horizontal="center" vertical="center"/>
    </xf>
    <xf numFmtId="178" fontId="44" fillId="2" borderId="2" xfId="439" applyNumberFormat="1" applyFont="1" applyFill="1" applyBorder="1" applyAlignment="1">
      <alignment horizontal="center" vertical="center"/>
    </xf>
    <xf numFmtId="178" fontId="39" fillId="2" borderId="4" xfId="444" applyNumberFormat="1" applyFont="1" applyFill="1" applyBorder="1" applyAlignment="1">
      <alignment horizontal="center" vertical="center"/>
    </xf>
    <xf numFmtId="178" fontId="44" fillId="2" borderId="2" xfId="444" applyNumberFormat="1" applyFont="1" applyFill="1" applyBorder="1" applyAlignment="1">
      <alignment horizontal="center" vertical="center"/>
    </xf>
    <xf numFmtId="178" fontId="46" fillId="2" borderId="0" xfId="444" applyNumberFormat="1" applyFont="1" applyFill="1" applyAlignment="1">
      <alignment horizontal="center" vertical="center"/>
    </xf>
    <xf numFmtId="178" fontId="46" fillId="2" borderId="0" xfId="444" applyNumberFormat="1" applyFont="1" applyFill="1" applyAlignment="1">
      <alignment horizontal="left" vertical="center"/>
    </xf>
    <xf numFmtId="178" fontId="45" fillId="2" borderId="11" xfId="444" applyNumberFormat="1" applyFont="1" applyFill="1" applyBorder="1" applyAlignment="1">
      <alignment horizontal="left" vertical="center"/>
    </xf>
    <xf numFmtId="178" fontId="46" fillId="2" borderId="2" xfId="444" applyNumberFormat="1" applyFont="1" applyFill="1" applyBorder="1" applyAlignment="1">
      <alignment horizontal="center"/>
    </xf>
    <xf numFmtId="178" fontId="46" fillId="3" borderId="2" xfId="444" applyNumberFormat="1" applyFont="1" applyFill="1" applyBorder="1" applyAlignment="1">
      <alignment horizontal="center" vertical="center"/>
    </xf>
    <xf numFmtId="178" fontId="39" fillId="36" borderId="29" xfId="444" applyNumberFormat="1" applyFont="1" applyFill="1" applyBorder="1" applyAlignment="1">
      <alignment horizontal="center" vertical="center" textRotation="255" wrapText="1"/>
    </xf>
    <xf numFmtId="178" fontId="46" fillId="36" borderId="2" xfId="444" applyNumberFormat="1" applyFont="1" applyFill="1" applyBorder="1" applyAlignment="1">
      <alignment horizontal="center"/>
    </xf>
    <xf numFmtId="178" fontId="46" fillId="36" borderId="2" xfId="444" applyNumberFormat="1" applyFont="1" applyFill="1" applyBorder="1" applyAlignment="1">
      <alignment horizontal="center" vertical="center"/>
    </xf>
    <xf numFmtId="178" fontId="46" fillId="36" borderId="3" xfId="444" applyNumberFormat="1" applyFont="1" applyFill="1" applyBorder="1" applyAlignment="1">
      <alignment horizontal="center"/>
    </xf>
    <xf numFmtId="178" fontId="46" fillId="36" borderId="4" xfId="444" applyNumberFormat="1" applyFont="1" applyFill="1" applyBorder="1" applyAlignment="1">
      <alignment horizontal="center"/>
    </xf>
    <xf numFmtId="178" fontId="39" fillId="2" borderId="13" xfId="445" applyNumberFormat="1" applyFont="1" applyFill="1" applyBorder="1" applyAlignment="1">
      <alignment horizontal="left" vertical="center"/>
    </xf>
    <xf numFmtId="178" fontId="39" fillId="2" borderId="13" xfId="445" applyNumberFormat="1" applyFont="1" applyFill="1" applyBorder="1" applyAlignment="1">
      <alignment horizontal="center" vertical="center"/>
    </xf>
    <xf numFmtId="178" fontId="39" fillId="2" borderId="30" xfId="445" applyNumberFormat="1" applyFont="1" applyFill="1" applyBorder="1" applyAlignment="1">
      <alignment horizontal="center" vertical="center"/>
    </xf>
    <xf numFmtId="178" fontId="39" fillId="2" borderId="15" xfId="445" applyNumberFormat="1" applyFont="1" applyFill="1" applyBorder="1" applyAlignment="1">
      <alignment horizontal="left" vertical="center"/>
    </xf>
    <xf numFmtId="178" fontId="39" fillId="2" borderId="15" xfId="445" applyNumberFormat="1" applyFont="1" applyFill="1" applyBorder="1" applyAlignment="1">
      <alignment horizontal="center" vertical="center"/>
    </xf>
    <xf numFmtId="178" fontId="39" fillId="2" borderId="17" xfId="445" applyNumberFormat="1" applyFont="1" applyFill="1" applyBorder="1" applyAlignment="1">
      <alignment horizontal="center" vertical="center"/>
    </xf>
    <xf numFmtId="178" fontId="42" fillId="0" borderId="0" xfId="0" applyNumberFormat="1" applyFont="1" applyAlignment="1">
      <alignment vertical="top"/>
    </xf>
    <xf numFmtId="178" fontId="47" fillId="2" borderId="18" xfId="445" applyNumberFormat="1" applyFont="1" applyFill="1" applyBorder="1" applyAlignment="1">
      <alignment horizontal="left" vertical="center"/>
    </xf>
    <xf numFmtId="178" fontId="47" fillId="2" borderId="19" xfId="445" applyNumberFormat="1" applyFont="1" applyFill="1" applyBorder="1" applyAlignment="1">
      <alignment horizontal="left" vertical="center"/>
    </xf>
    <xf numFmtId="178" fontId="42" fillId="2" borderId="0" xfId="444" applyNumberFormat="1" applyFont="1" applyFill="1" applyAlignment="1">
      <alignment horizontal="center" vertical="center"/>
    </xf>
    <xf numFmtId="178" fontId="42" fillId="0" borderId="2" xfId="0" applyNumberFormat="1" applyFont="1" applyBorder="1" applyAlignment="1">
      <alignment horizontal="center" vertical="center"/>
    </xf>
    <xf numFmtId="178" fontId="44" fillId="2" borderId="0" xfId="0" applyNumberFormat="1" applyFont="1" applyFill="1" applyAlignment="1">
      <alignment horizontal="left" vertical="center"/>
    </xf>
    <xf numFmtId="178" fontId="39" fillId="2" borderId="6" xfId="444" applyNumberFormat="1" applyFont="1" applyFill="1" applyBorder="1" applyAlignment="1">
      <alignment horizontal="center" vertical="center"/>
    </xf>
    <xf numFmtId="178" fontId="46" fillId="36" borderId="6" xfId="444" applyNumberFormat="1" applyFont="1" applyFill="1" applyBorder="1" applyAlignment="1">
      <alignment horizontal="center"/>
    </xf>
    <xf numFmtId="178" fontId="39" fillId="2" borderId="3" xfId="444" applyNumberFormat="1" applyFont="1" applyFill="1" applyBorder="1" applyAlignment="1">
      <alignment vertical="center"/>
    </xf>
    <xf numFmtId="178" fontId="45" fillId="2" borderId="0" xfId="276" applyNumberFormat="1" applyFont="1" applyFill="1" applyAlignment="1">
      <alignment horizontal="left" vertical="center"/>
    </xf>
    <xf numFmtId="178" fontId="45" fillId="2" borderId="0" xfId="436" applyNumberFormat="1" applyFont="1" applyFill="1" applyAlignment="1">
      <alignment horizontal="left" vertical="center"/>
    </xf>
    <xf numFmtId="178" fontId="46" fillId="3" borderId="10" xfId="444" applyNumberFormat="1" applyFont="1" applyFill="1" applyBorder="1" applyAlignment="1">
      <alignment horizontal="center" vertical="center"/>
    </xf>
    <xf numFmtId="178" fontId="44" fillId="2" borderId="0" xfId="457" applyNumberFormat="1" applyFont="1" applyFill="1" applyAlignment="1">
      <alignment horizontal="left" vertical="center"/>
    </xf>
    <xf numFmtId="178" fontId="44" fillId="2" borderId="0" xfId="458" applyNumberFormat="1" applyFont="1" applyFill="1" applyAlignment="1">
      <alignment horizontal="left" vertical="center"/>
    </xf>
    <xf numFmtId="178" fontId="44" fillId="2" borderId="2" xfId="444" applyNumberFormat="1" applyFont="1" applyFill="1" applyBorder="1" applyAlignment="1">
      <alignment horizontal="center"/>
    </xf>
    <xf numFmtId="178" fontId="44" fillId="2" borderId="0" xfId="0" applyNumberFormat="1" applyFont="1" applyFill="1" applyAlignment="1">
      <alignment vertical="center"/>
    </xf>
    <xf numFmtId="178" fontId="46" fillId="2" borderId="0" xfId="444" applyNumberFormat="1" applyFont="1" applyFill="1" applyAlignment="1">
      <alignment vertical="center"/>
    </xf>
    <xf numFmtId="178" fontId="44" fillId="2" borderId="0" xfId="0" applyNumberFormat="1" applyFont="1" applyFill="1" applyBorder="1" applyAlignment="1">
      <alignment horizontal="left" vertical="center"/>
    </xf>
    <xf numFmtId="178" fontId="39" fillId="2" borderId="0" xfId="453" applyNumberFormat="1" applyFont="1" applyFill="1" applyBorder="1" applyAlignment="1">
      <alignment horizontal="left" vertical="center"/>
    </xf>
    <xf numFmtId="178" fontId="46" fillId="2" borderId="3" xfId="444" applyNumberFormat="1" applyFont="1" applyFill="1" applyBorder="1" applyAlignment="1"/>
    <xf numFmtId="178" fontId="49" fillId="0" borderId="0" xfId="0" applyFont="1"/>
    <xf numFmtId="178" fontId="46" fillId="2" borderId="0" xfId="444" applyNumberFormat="1" applyFont="1" applyFill="1" applyBorder="1" applyAlignment="1">
      <alignment horizontal="left" vertical="center"/>
    </xf>
    <xf numFmtId="178" fontId="39" fillId="2" borderId="12" xfId="444" applyNumberFormat="1" applyFont="1" applyFill="1" applyBorder="1" applyAlignment="1">
      <alignment horizontal="center" vertical="center"/>
    </xf>
    <xf numFmtId="178" fontId="46" fillId="2" borderId="4" xfId="444" applyNumberFormat="1" applyFont="1" applyFill="1" applyBorder="1" applyAlignment="1">
      <alignment horizontal="center" vertical="center"/>
    </xf>
    <xf numFmtId="178" fontId="46" fillId="2" borderId="11" xfId="444" applyNumberFormat="1" applyFont="1" applyFill="1" applyBorder="1" applyAlignment="1">
      <alignment horizontal="center" vertical="center"/>
    </xf>
    <xf numFmtId="178" fontId="45" fillId="2" borderId="13" xfId="276" applyNumberFormat="1" applyFont="1" applyFill="1" applyBorder="1" applyAlignment="1">
      <alignment horizontal="left" vertical="center"/>
    </xf>
    <xf numFmtId="178" fontId="39" fillId="0" borderId="4" xfId="444" applyNumberFormat="1" applyFont="1" applyFill="1" applyBorder="1" applyAlignment="1">
      <alignment horizontal="center" vertical="center"/>
    </xf>
    <xf numFmtId="178" fontId="46" fillId="2" borderId="5" xfId="444" applyNumberFormat="1" applyFont="1" applyFill="1" applyBorder="1" applyAlignment="1"/>
    <xf numFmtId="178" fontId="39" fillId="0" borderId="3" xfId="444" applyNumberFormat="1" applyFont="1" applyFill="1" applyBorder="1" applyAlignment="1">
      <alignment horizontal="center" vertical="center"/>
    </xf>
    <xf numFmtId="178" fontId="42" fillId="0" borderId="2" xfId="454" applyNumberFormat="1" applyFont="1" applyBorder="1" applyAlignment="1">
      <alignment horizontal="center" vertical="center"/>
    </xf>
    <xf numFmtId="178" fontId="42" fillId="0" borderId="2" xfId="457" applyNumberFormat="1" applyFont="1" applyBorder="1" applyAlignment="1">
      <alignment horizontal="center" vertical="center"/>
    </xf>
    <xf numFmtId="178" fontId="43" fillId="4" borderId="2" xfId="444" applyNumberFormat="1" applyFont="1" applyFill="1" applyBorder="1" applyAlignment="1">
      <alignment horizontal="center"/>
    </xf>
    <xf numFmtId="178" fontId="44" fillId="2" borderId="0" xfId="457" applyNumberFormat="1" applyFont="1" applyFill="1" applyBorder="1" applyAlignment="1">
      <alignment vertical="center"/>
    </xf>
    <xf numFmtId="178" fontId="44" fillId="2" borderId="0" xfId="0" applyNumberFormat="1" applyFont="1" applyFill="1" applyBorder="1" applyAlignment="1">
      <alignment vertical="center"/>
    </xf>
    <xf numFmtId="178" fontId="43" fillId="0" borderId="2" xfId="0" applyNumberFormat="1" applyFont="1" applyBorder="1" applyAlignment="1">
      <alignment horizontal="center" vertical="center"/>
    </xf>
    <xf numFmtId="178" fontId="46" fillId="0" borderId="0" xfId="444" applyNumberFormat="1" applyFont="1" applyAlignment="1">
      <alignment horizontal="left" vertical="center"/>
    </xf>
    <xf numFmtId="178" fontId="44" fillId="2" borderId="0" xfId="462" applyNumberFormat="1" applyFont="1" applyFill="1" applyAlignment="1">
      <alignment horizontal="left" vertical="center"/>
    </xf>
    <xf numFmtId="179" fontId="46" fillId="2" borderId="0" xfId="444" applyNumberFormat="1" applyFont="1" applyFill="1" applyAlignment="1">
      <alignment horizontal="left" vertical="center"/>
    </xf>
    <xf numFmtId="178" fontId="42" fillId="0" borderId="2" xfId="452" applyNumberFormat="1" applyFont="1" applyBorder="1" applyAlignment="1">
      <alignment horizontal="center" vertical="center"/>
    </xf>
    <xf numFmtId="178" fontId="44" fillId="2" borderId="0" xfId="452" applyNumberFormat="1" applyFont="1" applyFill="1" applyBorder="1" applyAlignment="1">
      <alignment horizontal="left" vertical="center"/>
    </xf>
    <xf numFmtId="178" fontId="39" fillId="2" borderId="0" xfId="457" applyNumberFormat="1" applyFont="1" applyFill="1" applyBorder="1" applyAlignment="1">
      <alignment horizontal="left" vertical="center"/>
    </xf>
    <xf numFmtId="178" fontId="44" fillId="2" borderId="0" xfId="453" applyNumberFormat="1" applyFont="1" applyFill="1" applyBorder="1" applyAlignment="1">
      <alignment horizontal="left" vertical="center"/>
    </xf>
    <xf numFmtId="178" fontId="44" fillId="2" borderId="0" xfId="457" applyNumberFormat="1" applyFont="1" applyFill="1" applyBorder="1" applyAlignment="1">
      <alignment horizontal="left" vertical="center"/>
    </xf>
    <xf numFmtId="178" fontId="42" fillId="0" borderId="2" xfId="0" applyNumberFormat="1" applyFont="1" applyBorder="1" applyAlignment="1">
      <alignment horizontal="center"/>
    </xf>
    <xf numFmtId="178" fontId="39" fillId="2" borderId="0" xfId="0" applyNumberFormat="1" applyFont="1" applyFill="1" applyBorder="1" applyAlignment="1">
      <alignment vertical="center"/>
    </xf>
    <xf numFmtId="178" fontId="44" fillId="2" borderId="2" xfId="456" applyNumberFormat="1" applyFont="1" applyFill="1" applyBorder="1" applyAlignment="1">
      <alignment horizontal="center" vertical="center"/>
    </xf>
    <xf numFmtId="178" fontId="39" fillId="2" borderId="0" xfId="462" applyNumberFormat="1" applyFont="1" applyFill="1" applyAlignment="1">
      <alignment horizontal="left" vertical="center"/>
    </xf>
    <xf numFmtId="178" fontId="39" fillId="2" borderId="0" xfId="444" applyNumberFormat="1" applyFont="1" applyFill="1" applyAlignment="1">
      <alignment horizontal="center" vertical="center"/>
    </xf>
    <xf numFmtId="180" fontId="46" fillId="2" borderId="0" xfId="444" applyNumberFormat="1" applyFont="1" applyFill="1" applyAlignment="1">
      <alignment horizontal="left" vertical="center"/>
    </xf>
    <xf numFmtId="178" fontId="39" fillId="2" borderId="0" xfId="458" applyNumberFormat="1" applyFont="1" applyFill="1" applyAlignment="1">
      <alignment horizontal="left" vertical="center"/>
    </xf>
    <xf numFmtId="178" fontId="46" fillId="37" borderId="0" xfId="456" applyNumberFormat="1" applyFont="1" applyFill="1" applyAlignment="1">
      <alignment horizontal="left" vertical="center"/>
    </xf>
    <xf numFmtId="178" fontId="43" fillId="0" borderId="2" xfId="0" applyNumberFormat="1" applyFont="1" applyBorder="1" applyAlignment="1">
      <alignment horizontal="center"/>
    </xf>
    <xf numFmtId="178" fontId="39" fillId="2" borderId="0" xfId="457" applyNumberFormat="1" applyFont="1" applyFill="1" applyAlignment="1">
      <alignment horizontal="left" vertical="center"/>
    </xf>
    <xf numFmtId="178" fontId="42" fillId="0" borderId="2" xfId="454" applyNumberFormat="1" applyFont="1" applyBorder="1" applyAlignment="1">
      <alignment horizontal="center"/>
    </xf>
    <xf numFmtId="178" fontId="45" fillId="2" borderId="0" xfId="0" applyNumberFormat="1" applyFont="1" applyFill="1" applyAlignment="1">
      <alignment horizontal="left" vertical="center"/>
    </xf>
    <xf numFmtId="178" fontId="46" fillId="2" borderId="0" xfId="0" applyFont="1" applyFill="1" applyAlignment="1">
      <alignment horizontal="left" vertical="center"/>
    </xf>
    <xf numFmtId="178" fontId="44" fillId="4" borderId="2" xfId="444" applyNumberFormat="1" applyFont="1" applyFill="1" applyBorder="1" applyAlignment="1">
      <alignment horizontal="center"/>
    </xf>
    <xf numFmtId="178" fontId="43" fillId="2" borderId="2" xfId="456" applyNumberFormat="1" applyFont="1" applyFill="1" applyBorder="1" applyAlignment="1">
      <alignment horizontal="center"/>
    </xf>
    <xf numFmtId="178" fontId="50" fillId="2" borderId="0" xfId="444" applyNumberFormat="1" applyFont="1" applyFill="1" applyAlignment="1">
      <alignment horizontal="left" vertical="center"/>
    </xf>
    <xf numFmtId="178" fontId="46" fillId="2" borderId="0" xfId="456" applyNumberFormat="1" applyFont="1" applyFill="1" applyAlignment="1">
      <alignment horizontal="left" vertical="center"/>
    </xf>
    <xf numFmtId="178" fontId="44" fillId="2" borderId="0" xfId="456" applyNumberFormat="1" applyFont="1" applyFill="1" applyAlignment="1">
      <alignment horizontal="left" vertical="center"/>
    </xf>
    <xf numFmtId="178" fontId="46" fillId="3" borderId="33" xfId="444" applyNumberFormat="1" applyFont="1" applyFill="1" applyBorder="1" applyAlignment="1">
      <alignment horizontal="center" vertical="center"/>
    </xf>
    <xf numFmtId="178" fontId="44" fillId="2" borderId="0" xfId="458" applyNumberFormat="1" applyFont="1" applyFill="1" applyAlignment="1">
      <alignment vertical="center"/>
    </xf>
    <xf numFmtId="178" fontId="52" fillId="2" borderId="0" xfId="444" applyNumberFormat="1" applyFont="1" applyFill="1" applyAlignment="1">
      <alignment horizontal="left" vertical="center"/>
    </xf>
    <xf numFmtId="178" fontId="49" fillId="0" borderId="0" xfId="0" applyFont="1" applyAlignment="1">
      <alignment vertical="center"/>
    </xf>
    <xf numFmtId="178" fontId="49" fillId="2" borderId="0" xfId="0" applyFont="1" applyFill="1" applyAlignment="1">
      <alignment vertical="center"/>
    </xf>
    <xf numFmtId="178" fontId="46" fillId="2" borderId="0" xfId="462" applyNumberFormat="1" applyFont="1" applyFill="1" applyAlignment="1">
      <alignment vertical="center"/>
    </xf>
    <xf numFmtId="178" fontId="46" fillId="2" borderId="0" xfId="458" applyNumberFormat="1" applyFont="1" applyFill="1" applyAlignment="1">
      <alignment horizontal="left" vertical="center"/>
    </xf>
    <xf numFmtId="178" fontId="39" fillId="2" borderId="0" xfId="444" applyNumberFormat="1" applyFont="1" applyFill="1" applyAlignment="1">
      <alignment horizontal="left" vertical="center"/>
    </xf>
    <xf numFmtId="178" fontId="46" fillId="2" borderId="4" xfId="444" applyNumberFormat="1" applyFont="1" applyFill="1" applyBorder="1" applyAlignment="1">
      <alignment horizontal="center"/>
    </xf>
    <xf numFmtId="178" fontId="46" fillId="2" borderId="0" xfId="458" applyNumberFormat="1" applyFont="1" applyFill="1" applyAlignment="1">
      <alignment vertical="center"/>
    </xf>
    <xf numFmtId="178" fontId="39" fillId="38" borderId="2" xfId="456" applyNumberFormat="1" applyFont="1" applyFill="1" applyBorder="1" applyAlignment="1">
      <alignment horizontal="center" vertical="center"/>
    </xf>
    <xf numFmtId="178" fontId="42" fillId="0" borderId="0" xfId="456" applyNumberFormat="1" applyFont="1" applyAlignment="1">
      <alignment horizontal="center" vertical="center"/>
    </xf>
    <xf numFmtId="178" fontId="39" fillId="0" borderId="0" xfId="456" applyNumberFormat="1" applyFont="1" applyAlignment="1">
      <alignment horizontal="center" vertical="center"/>
    </xf>
    <xf numFmtId="178" fontId="45" fillId="2" borderId="0" xfId="457" applyNumberFormat="1" applyFont="1" applyFill="1" applyAlignment="1">
      <alignment horizontal="left" vertical="center"/>
    </xf>
    <xf numFmtId="178" fontId="46" fillId="36" borderId="2" xfId="456" applyNumberFormat="1" applyFont="1" applyFill="1" applyBorder="1" applyAlignment="1">
      <alignment horizontal="center"/>
    </xf>
    <xf numFmtId="178" fontId="46" fillId="4" borderId="0" xfId="444" applyNumberFormat="1" applyFont="1" applyFill="1" applyAlignment="1">
      <alignment horizontal="left" vertical="center"/>
    </xf>
    <xf numFmtId="178" fontId="46" fillId="4" borderId="0" xfId="444" applyNumberFormat="1" applyFont="1" applyFill="1" applyAlignment="1">
      <alignment vertical="center"/>
    </xf>
    <xf numFmtId="180" fontId="46" fillId="4" borderId="0" xfId="444" applyNumberFormat="1" applyFont="1" applyFill="1" applyAlignment="1">
      <alignment vertical="center"/>
    </xf>
    <xf numFmtId="178" fontId="42" fillId="2" borderId="0" xfId="456" applyNumberFormat="1" applyFont="1" applyFill="1" applyAlignment="1">
      <alignment horizontal="center" vertical="center"/>
    </xf>
    <xf numFmtId="178" fontId="44" fillId="4" borderId="0" xfId="458" applyNumberFormat="1" applyFont="1" applyFill="1" applyAlignment="1">
      <alignment horizontal="left" vertical="center"/>
    </xf>
    <xf numFmtId="178" fontId="46" fillId="2" borderId="10" xfId="444" applyNumberFormat="1" applyFont="1" applyFill="1" applyBorder="1" applyAlignment="1">
      <alignment horizontal="center" vertical="center"/>
    </xf>
    <xf numFmtId="178" fontId="46" fillId="2" borderId="2" xfId="444" applyNumberFormat="1" applyFont="1" applyFill="1" applyBorder="1" applyAlignment="1">
      <alignment horizontal="center" vertical="center"/>
    </xf>
    <xf numFmtId="178" fontId="43" fillId="2" borderId="2" xfId="0" applyNumberFormat="1" applyFont="1" applyFill="1" applyBorder="1" applyAlignment="1">
      <alignment horizontal="center"/>
    </xf>
    <xf numFmtId="178" fontId="42" fillId="2" borderId="2" xfId="0" applyNumberFormat="1" applyFont="1" applyFill="1" applyBorder="1" applyAlignment="1">
      <alignment horizontal="center" vertical="center"/>
    </xf>
    <xf numFmtId="178" fontId="44" fillId="2" borderId="2" xfId="461" applyNumberFormat="1" applyFont="1" applyFill="1" applyBorder="1" applyAlignment="1">
      <alignment horizontal="center" vertical="center"/>
    </xf>
    <xf numFmtId="178" fontId="42" fillId="2" borderId="0" xfId="444" applyNumberFormat="1" applyFont="1" applyFill="1" applyBorder="1" applyAlignment="1">
      <alignment horizontal="center" vertical="center"/>
    </xf>
    <xf numFmtId="178" fontId="46" fillId="4" borderId="0" xfId="444" applyNumberFormat="1" applyFont="1" applyFill="1" applyBorder="1" applyAlignment="1">
      <alignment horizontal="left" vertical="center"/>
    </xf>
    <xf numFmtId="178" fontId="42" fillId="39" borderId="0" xfId="444" applyNumberFormat="1" applyFont="1" applyFill="1" applyAlignment="1">
      <alignment horizontal="center" vertical="center"/>
    </xf>
    <xf numFmtId="178" fontId="46" fillId="39" borderId="0" xfId="444" applyNumberFormat="1" applyFont="1" applyFill="1" applyAlignment="1">
      <alignment horizontal="center" vertical="center"/>
    </xf>
    <xf numFmtId="178" fontId="46" fillId="39" borderId="0" xfId="444" applyNumberFormat="1" applyFont="1" applyFill="1" applyAlignment="1">
      <alignment horizontal="left" vertical="center"/>
    </xf>
    <xf numFmtId="178" fontId="46" fillId="39" borderId="10" xfId="444" applyNumberFormat="1" applyFont="1" applyFill="1" applyBorder="1" applyAlignment="1">
      <alignment horizontal="center" vertical="center"/>
    </xf>
    <xf numFmtId="178" fontId="43" fillId="2" borderId="4" xfId="444" applyNumberFormat="1" applyFont="1" applyFill="1" applyBorder="1" applyAlignment="1">
      <alignment horizontal="center"/>
    </xf>
    <xf numFmtId="178" fontId="44" fillId="2" borderId="4" xfId="439" applyNumberFormat="1" applyFont="1" applyFill="1" applyBorder="1" applyAlignment="1">
      <alignment horizontal="center" vertical="center"/>
    </xf>
    <xf numFmtId="178" fontId="52" fillId="3" borderId="10" xfId="444" applyNumberFormat="1" applyFont="1" applyFill="1" applyBorder="1" applyAlignment="1">
      <alignment horizontal="center" vertical="center"/>
    </xf>
    <xf numFmtId="178" fontId="54" fillId="2" borderId="0" xfId="444" applyNumberFormat="1" applyFont="1" applyFill="1" applyAlignment="1">
      <alignment horizontal="center" vertical="center"/>
    </xf>
    <xf numFmtId="181" fontId="46" fillId="2" borderId="0" xfId="444" applyNumberFormat="1" applyFont="1" applyFill="1" applyAlignment="1">
      <alignment horizontal="left" vertical="center"/>
    </xf>
    <xf numFmtId="178" fontId="39" fillId="2" borderId="12" xfId="456" applyNumberFormat="1" applyFont="1" applyFill="1" applyBorder="1" applyAlignment="1">
      <alignment vertical="center"/>
    </xf>
    <xf numFmtId="178" fontId="39" fillId="2" borderId="3" xfId="456" applyNumberFormat="1" applyFont="1" applyFill="1" applyBorder="1" applyAlignment="1">
      <alignment vertical="center"/>
    </xf>
    <xf numFmtId="178" fontId="39" fillId="2" borderId="5" xfId="456" applyNumberFormat="1" applyFont="1" applyFill="1" applyBorder="1" applyAlignment="1">
      <alignment vertical="center"/>
    </xf>
    <xf numFmtId="178" fontId="39" fillId="2" borderId="6" xfId="456" applyNumberFormat="1" applyFont="1" applyFill="1" applyBorder="1" applyAlignment="1">
      <alignment horizontal="center" vertical="center"/>
    </xf>
    <xf numFmtId="178" fontId="39" fillId="2" borderId="2" xfId="456" applyNumberFormat="1" applyFont="1" applyFill="1" applyBorder="1" applyAlignment="1">
      <alignment horizontal="center" vertical="center"/>
    </xf>
    <xf numFmtId="178" fontId="39" fillId="2" borderId="12" xfId="456" applyNumberFormat="1" applyFont="1" applyFill="1" applyBorder="1" applyAlignment="1">
      <alignment horizontal="center" vertical="center"/>
    </xf>
    <xf numFmtId="178" fontId="39" fillId="2" borderId="4" xfId="456" applyNumberFormat="1" applyFont="1" applyFill="1" applyBorder="1" applyAlignment="1">
      <alignment horizontal="center" vertical="center"/>
    </xf>
    <xf numFmtId="178" fontId="39" fillId="0" borderId="2" xfId="456" applyNumberFormat="1" applyFont="1" applyFill="1" applyBorder="1" applyAlignment="1">
      <alignment horizontal="center" vertical="center"/>
    </xf>
    <xf numFmtId="178" fontId="39" fillId="3" borderId="2" xfId="456" applyNumberFormat="1" applyFont="1" applyFill="1" applyBorder="1" applyAlignment="1">
      <alignment horizontal="center" vertical="center"/>
    </xf>
    <xf numFmtId="178" fontId="39" fillId="0" borderId="3" xfId="456" applyNumberFormat="1" applyFont="1" applyFill="1" applyBorder="1" applyAlignment="1">
      <alignment horizontal="center" vertical="center"/>
    </xf>
    <xf numFmtId="178" fontId="39" fillId="0" borderId="4" xfId="456" applyNumberFormat="1" applyFont="1" applyFill="1" applyBorder="1" applyAlignment="1">
      <alignment horizontal="center" vertical="center"/>
    </xf>
    <xf numFmtId="178" fontId="46" fillId="3" borderId="2" xfId="456" applyNumberFormat="1" applyFont="1" applyFill="1" applyBorder="1" applyAlignment="1">
      <alignment horizontal="center" vertical="center"/>
    </xf>
    <xf numFmtId="178" fontId="45" fillId="2" borderId="0" xfId="458" applyNumberFormat="1" applyFont="1" applyFill="1" applyAlignment="1">
      <alignment horizontal="left" vertical="center"/>
    </xf>
    <xf numFmtId="178" fontId="46" fillId="3" borderId="10" xfId="456" applyNumberFormat="1" applyFont="1" applyFill="1" applyBorder="1" applyAlignment="1">
      <alignment horizontal="center" vertical="center"/>
    </xf>
    <xf numFmtId="178" fontId="45" fillId="2" borderId="13" xfId="457" applyNumberFormat="1" applyFont="1" applyFill="1" applyBorder="1" applyAlignment="1">
      <alignment horizontal="left" vertical="center"/>
    </xf>
    <xf numFmtId="178" fontId="46" fillId="2" borderId="11" xfId="456" applyNumberFormat="1" applyFont="1" applyFill="1" applyBorder="1" applyAlignment="1">
      <alignment horizontal="center" vertical="center"/>
    </xf>
    <xf numFmtId="178" fontId="46" fillId="2" borderId="0" xfId="456" applyNumberFormat="1" applyFont="1" applyFill="1" applyAlignment="1">
      <alignment horizontal="center" vertical="center"/>
    </xf>
    <xf numFmtId="178" fontId="51" fillId="2" borderId="0" xfId="456" applyNumberFormat="1" applyFont="1" applyFill="1" applyAlignment="1">
      <alignment horizontal="left" vertical="center"/>
    </xf>
    <xf numFmtId="178" fontId="46" fillId="2" borderId="0" xfId="456" applyNumberFormat="1" applyFont="1" applyFill="1" applyBorder="1" applyAlignment="1">
      <alignment horizontal="left" vertical="center"/>
    </xf>
    <xf numFmtId="178" fontId="39" fillId="2" borderId="0" xfId="456" applyNumberFormat="1" applyFont="1" applyFill="1" applyAlignment="1">
      <alignment horizontal="left" vertical="center"/>
    </xf>
    <xf numFmtId="178" fontId="46" fillId="2" borderId="0" xfId="456" applyNumberFormat="1" applyFont="1" applyFill="1" applyAlignment="1">
      <alignment vertical="center"/>
    </xf>
    <xf numFmtId="178" fontId="45" fillId="2" borderId="11" xfId="456" applyNumberFormat="1" applyFont="1" applyFill="1" applyBorder="1" applyAlignment="1">
      <alignment horizontal="left" vertical="center"/>
    </xf>
    <xf numFmtId="178" fontId="45" fillId="2" borderId="0" xfId="0" applyNumberFormat="1" applyFont="1" applyFill="1" applyBorder="1" applyAlignment="1">
      <alignment horizontal="left" vertical="center"/>
    </xf>
    <xf numFmtId="178" fontId="45" fillId="2" borderId="32" xfId="0" applyNumberFormat="1" applyFont="1" applyFill="1" applyBorder="1" applyAlignment="1">
      <alignment horizontal="left" vertical="center"/>
    </xf>
    <xf numFmtId="178" fontId="46" fillId="2" borderId="2" xfId="456" applyNumberFormat="1" applyFont="1" applyFill="1" applyBorder="1" applyAlignment="1">
      <alignment horizontal="center"/>
    </xf>
    <xf numFmtId="178" fontId="46" fillId="2" borderId="3" xfId="456" applyNumberFormat="1" applyFont="1" applyFill="1" applyBorder="1" applyAlignment="1"/>
    <xf numFmtId="178" fontId="46" fillId="2" borderId="5" xfId="456" applyNumberFormat="1" applyFont="1" applyFill="1" applyBorder="1" applyAlignment="1"/>
    <xf numFmtId="178" fontId="46" fillId="36" borderId="2" xfId="456" applyNumberFormat="1" applyFont="1" applyFill="1" applyBorder="1" applyAlignment="1">
      <alignment horizontal="center" vertical="center"/>
    </xf>
    <xf numFmtId="178" fontId="46" fillId="36" borderId="3" xfId="456" applyNumberFormat="1" applyFont="1" applyFill="1" applyBorder="1" applyAlignment="1">
      <alignment horizontal="center"/>
    </xf>
    <xf numFmtId="178" fontId="55" fillId="2" borderId="0" xfId="456" applyNumberFormat="1" applyFont="1" applyFill="1" applyAlignment="1">
      <alignment horizontal="left" vertical="center"/>
    </xf>
    <xf numFmtId="178" fontId="56" fillId="2" borderId="0" xfId="456" applyNumberFormat="1" applyFont="1" applyFill="1" applyAlignment="1">
      <alignment horizontal="left" vertical="center"/>
    </xf>
    <xf numFmtId="178" fontId="56" fillId="2" borderId="0" xfId="456" applyNumberFormat="1" applyFont="1" applyFill="1" applyAlignment="1">
      <alignment horizontal="center" vertical="center"/>
    </xf>
    <xf numFmtId="178" fontId="57" fillId="2" borderId="0" xfId="456" applyNumberFormat="1" applyFont="1" applyFill="1" applyAlignment="1">
      <alignment horizontal="left" vertical="center"/>
    </xf>
    <xf numFmtId="178" fontId="39" fillId="0" borderId="0" xfId="444" applyNumberFormat="1" applyFont="1" applyAlignment="1">
      <alignment horizontal="left" vertical="center"/>
    </xf>
    <xf numFmtId="178" fontId="45" fillId="2" borderId="0" xfId="456" applyNumberFormat="1" applyFont="1" applyFill="1" applyAlignment="1">
      <alignment horizontal="left" vertical="center"/>
    </xf>
    <xf numFmtId="178" fontId="44" fillId="2" borderId="4" xfId="444" applyNumberFormat="1" applyFont="1" applyFill="1" applyBorder="1" applyAlignment="1">
      <alignment horizontal="center" vertical="center"/>
    </xf>
    <xf numFmtId="178" fontId="44" fillId="2" borderId="2" xfId="456" applyNumberFormat="1" applyFont="1" applyFill="1" applyBorder="1" applyAlignment="1">
      <alignment horizontal="center"/>
    </xf>
    <xf numFmtId="178" fontId="55" fillId="2" borderId="0" xfId="444" applyNumberFormat="1" applyFont="1" applyFill="1" applyAlignment="1">
      <alignment horizontal="left" vertical="center"/>
    </xf>
    <xf numFmtId="182" fontId="46" fillId="2" borderId="0" xfId="444" applyNumberFormat="1" applyFont="1" applyFill="1" applyAlignment="1">
      <alignment horizontal="left" vertical="center"/>
    </xf>
    <xf numFmtId="178" fontId="42" fillId="0" borderId="4" xfId="0" applyNumberFormat="1" applyFont="1" applyBorder="1" applyAlignment="1">
      <alignment horizontal="center" vertical="center"/>
    </xf>
    <xf numFmtId="178" fontId="39" fillId="2" borderId="0" xfId="456" applyNumberFormat="1" applyFont="1" applyFill="1" applyAlignment="1">
      <alignment horizontal="center" vertical="center"/>
    </xf>
    <xf numFmtId="178" fontId="47" fillId="2" borderId="0" xfId="444" applyNumberFormat="1" applyFont="1" applyFill="1" applyAlignment="1">
      <alignment horizontal="left" vertical="center"/>
    </xf>
    <xf numFmtId="178" fontId="60" fillId="2" borderId="0" xfId="456" applyNumberFormat="1" applyFont="1" applyFill="1" applyAlignment="1">
      <alignment horizontal="left" vertical="center"/>
    </xf>
    <xf numFmtId="178" fontId="46" fillId="2" borderId="0" xfId="0" applyNumberFormat="1" applyFont="1" applyFill="1" applyAlignment="1">
      <alignment horizontal="left" vertical="center"/>
    </xf>
    <xf numFmtId="178" fontId="45" fillId="2" borderId="3" xfId="456" applyNumberFormat="1" applyFont="1" applyFill="1" applyBorder="1" applyAlignment="1"/>
    <xf numFmtId="178" fontId="39" fillId="0" borderId="0" xfId="444" applyNumberFormat="1" applyFont="1" applyFill="1" applyAlignment="1">
      <alignment horizontal="center" vertical="center"/>
    </xf>
    <xf numFmtId="178" fontId="42" fillId="0" borderId="0" xfId="444" applyNumberFormat="1" applyFont="1" applyFill="1" applyAlignment="1">
      <alignment horizontal="center" vertical="center"/>
    </xf>
    <xf numFmtId="178" fontId="46" fillId="0" borderId="0" xfId="444" applyNumberFormat="1" applyFont="1" applyFill="1" applyAlignment="1">
      <alignment horizontal="left" vertical="center"/>
    </xf>
    <xf numFmtId="178" fontId="61" fillId="2" borderId="0" xfId="456" applyNumberFormat="1" applyFont="1" applyFill="1" applyAlignment="1">
      <alignment horizontal="left" vertical="center"/>
    </xf>
    <xf numFmtId="178" fontId="62" fillId="2" borderId="0" xfId="456" applyNumberFormat="1" applyFont="1" applyFill="1" applyAlignment="1">
      <alignment horizontal="left" vertical="center"/>
    </xf>
    <xf numFmtId="178" fontId="61" fillId="2" borderId="0" xfId="444" applyNumberFormat="1" applyFont="1" applyFill="1" applyAlignment="1">
      <alignment horizontal="left" vertical="center"/>
    </xf>
    <xf numFmtId="178" fontId="46" fillId="2" borderId="6" xfId="444" applyNumberFormat="1" applyFont="1" applyFill="1" applyBorder="1" applyAlignment="1"/>
    <xf numFmtId="178" fontId="44" fillId="2" borderId="0" xfId="444" applyNumberFormat="1" applyFont="1" applyFill="1" applyAlignment="1">
      <alignment horizontal="left" vertical="center"/>
    </xf>
    <xf numFmtId="178" fontId="42" fillId="2" borderId="0" xfId="444" applyNumberFormat="1" applyFont="1" applyFill="1" applyAlignment="1">
      <alignment horizontal="left" vertical="center"/>
    </xf>
    <xf numFmtId="178" fontId="0" fillId="2" borderId="0" xfId="0" applyFill="1"/>
    <xf numFmtId="178" fontId="41" fillId="2" borderId="0" xfId="456" applyNumberFormat="1" applyFont="1" applyFill="1" applyAlignment="1">
      <alignment horizontal="left" vertical="center"/>
    </xf>
    <xf numFmtId="178" fontId="55" fillId="2" borderId="0" xfId="444" applyNumberFormat="1" applyFont="1" applyFill="1" applyBorder="1" applyAlignment="1">
      <alignment horizontal="left" vertical="center"/>
    </xf>
    <xf numFmtId="178" fontId="45" fillId="2" borderId="0" xfId="444" applyNumberFormat="1" applyFont="1" applyFill="1" applyAlignment="1">
      <alignment horizontal="left" vertical="center"/>
    </xf>
    <xf numFmtId="178" fontId="51" fillId="2" borderId="2" xfId="439" applyNumberFormat="1" applyFont="1" applyFill="1" applyBorder="1" applyAlignment="1">
      <alignment horizontal="center" vertical="center"/>
    </xf>
    <xf numFmtId="178" fontId="52" fillId="3" borderId="2" xfId="444" applyNumberFormat="1" applyFont="1" applyFill="1" applyBorder="1" applyAlignment="1">
      <alignment horizontal="center" vertical="center"/>
    </xf>
    <xf numFmtId="178" fontId="55" fillId="2" borderId="0" xfId="436" applyNumberFormat="1" applyFont="1" applyFill="1" applyAlignment="1">
      <alignment horizontal="left" vertical="center"/>
    </xf>
    <xf numFmtId="178" fontId="56" fillId="2" borderId="0" xfId="444" applyNumberFormat="1" applyFont="1" applyFill="1" applyAlignment="1">
      <alignment horizontal="left" vertical="center"/>
    </xf>
    <xf numFmtId="178" fontId="55" fillId="2" borderId="0" xfId="444" applyNumberFormat="1" applyFont="1" applyFill="1" applyAlignment="1">
      <alignment vertical="center"/>
    </xf>
    <xf numFmtId="2" fontId="46" fillId="2" borderId="4" xfId="444" applyNumberFormat="1" applyFont="1" applyFill="1" applyBorder="1" applyAlignment="1">
      <alignment horizontal="center" vertical="center"/>
    </xf>
    <xf numFmtId="178" fontId="59" fillId="2" borderId="0" xfId="456" applyNumberFormat="1" applyFont="1" applyFill="1" applyAlignment="1">
      <alignment horizontal="left" vertical="center"/>
    </xf>
    <xf numFmtId="178" fontId="39" fillId="2" borderId="9" xfId="444" applyNumberFormat="1" applyFont="1" applyFill="1" applyBorder="1" applyAlignment="1">
      <alignment horizontal="center" vertical="center" textRotation="255" wrapText="1"/>
    </xf>
    <xf numFmtId="178" fontId="46" fillId="2" borderId="0" xfId="436" applyNumberFormat="1" applyFont="1" applyFill="1" applyAlignment="1">
      <alignment horizontal="left" vertical="center"/>
    </xf>
    <xf numFmtId="178" fontId="64" fillId="2" borderId="0" xfId="456" applyNumberFormat="1" applyFont="1" applyFill="1" applyBorder="1" applyAlignment="1">
      <alignment horizontal="left" vertical="center"/>
    </xf>
    <xf numFmtId="179" fontId="55" fillId="2" borderId="0" xfId="444" applyNumberFormat="1" applyFont="1" applyFill="1" applyAlignment="1">
      <alignment horizontal="left" vertical="center"/>
    </xf>
    <xf numFmtId="178" fontId="44" fillId="2" borderId="0" xfId="436" applyNumberFormat="1" applyFont="1" applyFill="1" applyAlignment="1">
      <alignment horizontal="left" vertical="center"/>
    </xf>
    <xf numFmtId="178" fontId="44" fillId="2" borderId="0" xfId="16" applyNumberFormat="1" applyFont="1" applyFill="1" applyAlignment="1">
      <alignment horizontal="left" vertical="center"/>
    </xf>
    <xf numFmtId="178" fontId="46" fillId="2" borderId="0" xfId="0" applyFont="1" applyFill="1"/>
    <xf numFmtId="178" fontId="46" fillId="3" borderId="8" xfId="444" applyNumberFormat="1" applyFont="1" applyFill="1" applyBorder="1" applyAlignment="1">
      <alignment horizontal="center" vertical="center"/>
    </xf>
    <xf numFmtId="178" fontId="46" fillId="3" borderId="34" xfId="444" applyNumberFormat="1" applyFont="1" applyFill="1" applyBorder="1" applyAlignment="1">
      <alignment horizontal="center" vertical="center"/>
    </xf>
    <xf numFmtId="178" fontId="46" fillId="4" borderId="0" xfId="456" applyNumberFormat="1" applyFont="1" applyFill="1" applyAlignment="1">
      <alignment horizontal="left" vertical="center"/>
    </xf>
    <xf numFmtId="0" fontId="52" fillId="2" borderId="0" xfId="444" applyNumberFormat="1" applyFont="1" applyFill="1" applyAlignment="1">
      <alignment horizontal="left" vertical="center"/>
    </xf>
    <xf numFmtId="178" fontId="46" fillId="2" borderId="6" xfId="456" applyNumberFormat="1" applyFont="1" applyFill="1" applyBorder="1" applyAlignment="1"/>
    <xf numFmtId="178" fontId="56" fillId="0" borderId="0" xfId="444" applyNumberFormat="1" applyFont="1" applyAlignment="1">
      <alignment horizontal="left" vertical="center"/>
    </xf>
    <xf numFmtId="178" fontId="67" fillId="2" borderId="0" xfId="444" applyNumberFormat="1" applyFont="1" applyFill="1" applyAlignment="1">
      <alignment horizontal="left" vertical="center"/>
    </xf>
    <xf numFmtId="178" fontId="70" fillId="2" borderId="0" xfId="444" applyNumberFormat="1" applyFont="1" applyFill="1" applyAlignment="1">
      <alignment horizontal="left" vertical="center"/>
    </xf>
    <xf numFmtId="178" fontId="56" fillId="2" borderId="0" xfId="444" applyNumberFormat="1" applyFont="1" applyFill="1" applyAlignment="1">
      <alignment horizontal="center" vertical="center"/>
    </xf>
    <xf numFmtId="178" fontId="55" fillId="2" borderId="0" xfId="456" applyNumberFormat="1" applyFont="1" applyFill="1" applyBorder="1" applyAlignment="1">
      <alignment horizontal="left" vertical="center"/>
    </xf>
    <xf numFmtId="178" fontId="44" fillId="2" borderId="0" xfId="436" applyNumberFormat="1" applyFont="1" applyFill="1" applyBorder="1" applyAlignment="1">
      <alignment horizontal="left" vertical="center"/>
    </xf>
    <xf numFmtId="178" fontId="42" fillId="0" borderId="2" xfId="276" applyNumberFormat="1" applyFont="1" applyBorder="1" applyAlignment="1">
      <alignment horizontal="center" vertical="center"/>
    </xf>
    <xf numFmtId="178" fontId="55" fillId="2" borderId="0" xfId="0" applyNumberFormat="1" applyFont="1" applyFill="1" applyAlignment="1">
      <alignment horizontal="left" vertical="center"/>
    </xf>
    <xf numFmtId="178" fontId="39" fillId="2" borderId="0" xfId="16" applyNumberFormat="1" applyFont="1" applyFill="1" applyAlignment="1">
      <alignment horizontal="left" vertical="center"/>
    </xf>
    <xf numFmtId="178" fontId="52" fillId="2" borderId="0" xfId="456" applyNumberFormat="1" applyFont="1" applyFill="1" applyAlignment="1">
      <alignment horizontal="left" vertical="center"/>
    </xf>
    <xf numFmtId="178" fontId="66" fillId="2" borderId="0" xfId="456" applyNumberFormat="1" applyFont="1" applyFill="1" applyAlignment="1">
      <alignment horizontal="left" vertical="center"/>
    </xf>
    <xf numFmtId="178" fontId="55" fillId="2" borderId="0" xfId="0" applyFont="1" applyFill="1" applyAlignment="1">
      <alignment vertical="center"/>
    </xf>
    <xf numFmtId="178" fontId="46" fillId="2" borderId="2" xfId="444" applyNumberFormat="1" applyFont="1" applyFill="1" applyBorder="1" applyAlignment="1"/>
    <xf numFmtId="178" fontId="68" fillId="2" borderId="0" xfId="0" applyFont="1" applyFill="1"/>
    <xf numFmtId="178" fontId="45" fillId="2" borderId="0" xfId="444" applyNumberFormat="1" applyFont="1" applyFill="1" applyAlignment="1">
      <alignment horizontal="right" vertical="center"/>
    </xf>
    <xf numFmtId="178" fontId="55" fillId="39" borderId="0" xfId="444" applyNumberFormat="1" applyFont="1" applyFill="1" applyAlignment="1">
      <alignment vertical="center"/>
    </xf>
    <xf numFmtId="178" fontId="46" fillId="2" borderId="0" xfId="444" applyNumberFormat="1" applyFont="1" applyFill="1" applyBorder="1" applyAlignment="1">
      <alignment horizontal="center" vertical="center"/>
    </xf>
    <xf numFmtId="178" fontId="4" fillId="0" borderId="0" xfId="444" applyNumberFormat="1" applyFont="1" applyAlignment="1">
      <alignment horizontal="left" vertical="center"/>
    </xf>
    <xf numFmtId="178" fontId="39" fillId="2" borderId="7" xfId="444" applyNumberFormat="1" applyFont="1" applyFill="1" applyBorder="1" applyAlignment="1">
      <alignment horizontal="center" vertical="center" textRotation="255" wrapText="1"/>
    </xf>
    <xf numFmtId="178" fontId="39" fillId="2" borderId="9" xfId="444" applyNumberFormat="1" applyFont="1" applyFill="1" applyBorder="1" applyAlignment="1">
      <alignment horizontal="center" vertical="center" textRotation="255" wrapText="1"/>
    </xf>
    <xf numFmtId="178" fontId="45" fillId="2" borderId="31" xfId="444" applyNumberFormat="1" applyFont="1" applyFill="1" applyBorder="1" applyAlignment="1">
      <alignment horizontal="right" vertical="center"/>
    </xf>
    <xf numFmtId="178" fontId="45" fillId="2" borderId="0" xfId="444" applyNumberFormat="1" applyFont="1" applyFill="1" applyAlignment="1">
      <alignment horizontal="right" vertical="center"/>
    </xf>
    <xf numFmtId="178" fontId="46" fillId="2" borderId="6" xfId="444" applyNumberFormat="1" applyFont="1" applyFill="1" applyBorder="1" applyAlignment="1">
      <alignment horizontal="left"/>
    </xf>
    <xf numFmtId="178" fontId="46" fillId="2" borderId="3" xfId="444" applyNumberFormat="1" applyFont="1" applyFill="1" applyBorder="1" applyAlignment="1">
      <alignment horizontal="left"/>
    </xf>
    <xf numFmtId="178" fontId="39" fillId="2" borderId="29" xfId="444" applyNumberFormat="1" applyFont="1" applyFill="1" applyBorder="1" applyAlignment="1">
      <alignment horizontal="center" vertical="center" textRotation="255" wrapText="1"/>
    </xf>
    <xf numFmtId="178" fontId="39" fillId="0" borderId="7" xfId="444" applyNumberFormat="1" applyFont="1" applyBorder="1" applyAlignment="1">
      <alignment horizontal="center" vertical="center" textRotation="255"/>
    </xf>
    <xf numFmtId="178" fontId="39" fillId="0" borderId="14" xfId="444" applyNumberFormat="1" applyFont="1" applyBorder="1" applyAlignment="1">
      <alignment horizontal="center" vertical="center" textRotation="255"/>
    </xf>
    <xf numFmtId="178" fontId="39" fillId="3" borderId="8" xfId="445" applyNumberFormat="1" applyFont="1" applyFill="1" applyBorder="1" applyAlignment="1">
      <alignment horizontal="center" vertical="center" wrapText="1"/>
    </xf>
    <xf numFmtId="178" fontId="39" fillId="3" borderId="16" xfId="445" applyNumberFormat="1" applyFont="1" applyFill="1" applyBorder="1" applyAlignment="1">
      <alignment horizontal="center" vertical="center" wrapText="1"/>
    </xf>
    <xf numFmtId="178" fontId="45" fillId="2" borderId="31" xfId="444" applyNumberFormat="1" applyFont="1" applyFill="1" applyBorder="1" applyAlignment="1">
      <alignment horizontal="center" vertical="center"/>
    </xf>
    <xf numFmtId="178" fontId="45" fillId="2" borderId="0" xfId="444" applyNumberFormat="1" applyFont="1" applyFill="1" applyAlignment="1">
      <alignment horizontal="center" vertical="center"/>
    </xf>
    <xf numFmtId="178" fontId="46" fillId="2" borderId="6" xfId="444" applyNumberFormat="1" applyFont="1" applyFill="1" applyBorder="1" applyAlignment="1">
      <alignment horizontal="right"/>
    </xf>
    <xf numFmtId="178" fontId="46" fillId="2" borderId="3" xfId="444" applyNumberFormat="1" applyFont="1" applyFill="1" applyBorder="1" applyAlignment="1">
      <alignment horizontal="right"/>
    </xf>
    <xf numFmtId="178" fontId="46" fillId="2" borderId="5" xfId="444" applyNumberFormat="1" applyFont="1" applyFill="1" applyBorder="1" applyAlignment="1">
      <alignment horizontal="left"/>
    </xf>
    <xf numFmtId="178" fontId="46" fillId="2" borderId="2" xfId="444" applyNumberFormat="1" applyFont="1" applyFill="1" applyBorder="1" applyAlignment="1">
      <alignment horizontal="right"/>
    </xf>
    <xf numFmtId="178" fontId="45" fillId="2" borderId="0" xfId="444" applyNumberFormat="1" applyFont="1" applyFill="1" applyBorder="1" applyAlignment="1">
      <alignment horizontal="right" vertical="center"/>
    </xf>
    <xf numFmtId="178" fontId="46" fillId="2" borderId="6" xfId="444" applyNumberFormat="1" applyFont="1" applyFill="1" applyBorder="1" applyAlignment="1">
      <alignment horizontal="center"/>
    </xf>
    <xf numFmtId="178" fontId="46" fillId="2" borderId="3" xfId="444" applyNumberFormat="1" applyFont="1" applyFill="1" applyBorder="1" applyAlignment="1">
      <alignment horizontal="center"/>
    </xf>
    <xf numFmtId="178" fontId="39" fillId="4" borderId="6" xfId="0" applyNumberFormat="1" applyFont="1" applyFill="1" applyBorder="1" applyAlignment="1">
      <alignment horizontal="center" vertical="center"/>
    </xf>
    <xf numFmtId="178" fontId="39" fillId="4" borderId="12" xfId="0" applyNumberFormat="1" applyFont="1" applyFill="1" applyBorder="1" applyAlignment="1">
      <alignment horizontal="center" vertical="center"/>
    </xf>
    <xf numFmtId="178" fontId="39" fillId="4" borderId="3" xfId="0" applyNumberFormat="1" applyFont="1" applyFill="1" applyBorder="1" applyAlignment="1">
      <alignment horizontal="center" vertical="center"/>
    </xf>
    <xf numFmtId="178" fontId="45" fillId="2" borderId="7" xfId="444" applyNumberFormat="1" applyFont="1" applyFill="1" applyBorder="1" applyAlignment="1">
      <alignment horizontal="center" vertical="center" textRotation="255" wrapText="1"/>
    </xf>
    <xf numFmtId="178" fontId="45" fillId="2" borderId="9" xfId="444" applyNumberFormat="1" applyFont="1" applyFill="1" applyBorder="1" applyAlignment="1">
      <alignment horizontal="center" vertical="center" textRotation="255" wrapText="1"/>
    </xf>
    <xf numFmtId="178" fontId="45" fillId="2" borderId="31" xfId="456" applyNumberFormat="1" applyFont="1" applyFill="1" applyBorder="1" applyAlignment="1">
      <alignment horizontal="right" vertical="center"/>
    </xf>
    <xf numFmtId="178" fontId="45" fillId="2" borderId="0" xfId="456" applyNumberFormat="1" applyFont="1" applyFill="1" applyAlignment="1">
      <alignment horizontal="right" vertical="center"/>
    </xf>
    <xf numFmtId="178" fontId="46" fillId="2" borderId="6" xfId="456" applyNumberFormat="1" applyFont="1" applyFill="1" applyBorder="1" applyAlignment="1">
      <alignment horizontal="left"/>
    </xf>
    <xf numFmtId="178" fontId="46" fillId="2" borderId="3" xfId="456" applyNumberFormat="1" applyFont="1" applyFill="1" applyBorder="1" applyAlignment="1">
      <alignment horizontal="left"/>
    </xf>
    <xf numFmtId="178" fontId="75" fillId="0" borderId="0" xfId="0" applyFont="1"/>
    <xf numFmtId="178" fontId="74" fillId="0" borderId="0" xfId="0" applyFont="1"/>
  </cellXfs>
  <cellStyles count="463">
    <cellStyle name="_x0007_" xfId="11" xr:uid="{00000000-0005-0000-0000-000000000000}"/>
    <cellStyle name="_x0007_ 10" xfId="275" xr:uid="{00000000-0005-0000-0000-000001000000}"/>
    <cellStyle name="_x0007_ 10 2" xfId="282" xr:uid="{00000000-0005-0000-0000-000002000000}"/>
    <cellStyle name="_x0007_ 2" xfId="22" xr:uid="{00000000-0005-0000-0000-000003000000}"/>
    <cellStyle name="_x0007_ 2 2" xfId="23" xr:uid="{00000000-0005-0000-0000-000004000000}"/>
    <cellStyle name="_x0007_ 2 2 2" xfId="293" xr:uid="{00000000-0005-0000-0000-000005000000}"/>
    <cellStyle name="_x0007_ 2 3" xfId="24" xr:uid="{00000000-0005-0000-0000-000006000000}"/>
    <cellStyle name="_x0007_ 2 3 2" xfId="294" xr:uid="{00000000-0005-0000-0000-000007000000}"/>
    <cellStyle name="_x0007_ 2 4" xfId="25" xr:uid="{00000000-0005-0000-0000-000008000000}"/>
    <cellStyle name="_x0007_ 2 4 2" xfId="295" xr:uid="{00000000-0005-0000-0000-000009000000}"/>
    <cellStyle name="_x0007_ 2 5" xfId="26" xr:uid="{00000000-0005-0000-0000-00000A000000}"/>
    <cellStyle name="_x0007_ 2 5 2" xfId="296" xr:uid="{00000000-0005-0000-0000-00000B000000}"/>
    <cellStyle name="_x0007_ 2 6" xfId="27" xr:uid="{00000000-0005-0000-0000-00000C000000}"/>
    <cellStyle name="_x0007_ 2 6 2" xfId="297" xr:uid="{00000000-0005-0000-0000-00000D000000}"/>
    <cellStyle name="_x0007_ 2 7" xfId="28" xr:uid="{00000000-0005-0000-0000-00000E000000}"/>
    <cellStyle name="_x0007_ 2 7 2" xfId="298" xr:uid="{00000000-0005-0000-0000-00000F000000}"/>
    <cellStyle name="_x0007_ 2 8" xfId="29" xr:uid="{00000000-0005-0000-0000-000010000000}"/>
    <cellStyle name="_x0007_ 2 8 2" xfId="299" xr:uid="{00000000-0005-0000-0000-000011000000}"/>
    <cellStyle name="_x0007_ 3" xfId="30" xr:uid="{00000000-0005-0000-0000-000012000000}"/>
    <cellStyle name="_x0007_ 3 2" xfId="300" xr:uid="{00000000-0005-0000-0000-000013000000}"/>
    <cellStyle name="_x0007_ 4" xfId="31" xr:uid="{00000000-0005-0000-0000-000014000000}"/>
    <cellStyle name="_x0007_ 4 2" xfId="301" xr:uid="{00000000-0005-0000-0000-000015000000}"/>
    <cellStyle name="_x0007_ 5" xfId="281" xr:uid="{00000000-0005-0000-0000-000016000000}"/>
    <cellStyle name="_x0007_ 5 2" xfId="410" xr:uid="{00000000-0005-0000-0000-000017000000}"/>
    <cellStyle name="_x0007_ 6" xfId="287" xr:uid="{00000000-0005-0000-0000-000018000000}"/>
    <cellStyle name="_x0007_ 6 2" xfId="415" xr:uid="{00000000-0005-0000-0000-000019000000}"/>
    <cellStyle name="_x0007_ 7" xfId="289" xr:uid="{00000000-0005-0000-0000-00001A000000}"/>
    <cellStyle name="_x0007_ 7 2" xfId="417" xr:uid="{00000000-0005-0000-0000-00001B000000}"/>
    <cellStyle name="_x0007_ 8" xfId="21" xr:uid="{00000000-0005-0000-0000-00001C000000}"/>
    <cellStyle name="=C:\WINDOWS\SYSTEM32\COMMAND.COM" xfId="277" xr:uid="{00000000-0005-0000-0000-00001D000000}"/>
    <cellStyle name="20% - Accent1 2" xfId="32" xr:uid="{00000000-0005-0000-0000-00001E000000}"/>
    <cellStyle name="20% - Accent2 2" xfId="33" xr:uid="{00000000-0005-0000-0000-00001F000000}"/>
    <cellStyle name="20% - Accent3 2" xfId="34" xr:uid="{00000000-0005-0000-0000-000020000000}"/>
    <cellStyle name="20% - Accent4 2" xfId="35" xr:uid="{00000000-0005-0000-0000-000021000000}"/>
    <cellStyle name="20% - Accent5 2" xfId="36" xr:uid="{00000000-0005-0000-0000-000022000000}"/>
    <cellStyle name="20% - Accent6 2" xfId="37" xr:uid="{00000000-0005-0000-0000-000023000000}"/>
    <cellStyle name="25*62*210 14" xfId="38" xr:uid="{00000000-0005-0000-0000-000024000000}"/>
    <cellStyle name="25*62*210_MAY TUAN 23-27" xfId="39" xr:uid="{00000000-0005-0000-0000-000025000000}"/>
    <cellStyle name="40% - Accent1 2" xfId="40" xr:uid="{00000000-0005-0000-0000-000026000000}"/>
    <cellStyle name="40% - Accent2 2" xfId="41" xr:uid="{00000000-0005-0000-0000-000027000000}"/>
    <cellStyle name="40% - Accent3 2" xfId="42" xr:uid="{00000000-0005-0000-0000-000028000000}"/>
    <cellStyle name="40% - Accent4 2" xfId="43" xr:uid="{00000000-0005-0000-0000-000029000000}"/>
    <cellStyle name="40% - Accent5 2" xfId="44" xr:uid="{00000000-0005-0000-0000-00002A000000}"/>
    <cellStyle name="40% - Accent6 2" xfId="45" xr:uid="{00000000-0005-0000-0000-00002B000000}"/>
    <cellStyle name="60% - Accent1 2" xfId="46" xr:uid="{00000000-0005-0000-0000-00002C000000}"/>
    <cellStyle name="60% - Accent2 2" xfId="47" xr:uid="{00000000-0005-0000-0000-00002D000000}"/>
    <cellStyle name="60% - Accent3 2" xfId="48" xr:uid="{00000000-0005-0000-0000-00002E000000}"/>
    <cellStyle name="60% - Accent4 2" xfId="49" xr:uid="{00000000-0005-0000-0000-00002F000000}"/>
    <cellStyle name="60% - Accent5 2" xfId="50" xr:uid="{00000000-0005-0000-0000-000030000000}"/>
    <cellStyle name="60% - Accent6 2" xfId="51" xr:uid="{00000000-0005-0000-0000-000031000000}"/>
    <cellStyle name="Accent1 2" xfId="52" xr:uid="{00000000-0005-0000-0000-000032000000}"/>
    <cellStyle name="Accent2 2" xfId="53" xr:uid="{00000000-0005-0000-0000-000033000000}"/>
    <cellStyle name="Accent3 2" xfId="54" xr:uid="{00000000-0005-0000-0000-000034000000}"/>
    <cellStyle name="Accent4 2" xfId="55" xr:uid="{00000000-0005-0000-0000-000035000000}"/>
    <cellStyle name="Accent5 2" xfId="56" xr:uid="{00000000-0005-0000-0000-000036000000}"/>
    <cellStyle name="Accent6 2" xfId="57" xr:uid="{00000000-0005-0000-0000-000037000000}"/>
    <cellStyle name="Bad 2" xfId="58" xr:uid="{00000000-0005-0000-0000-000038000000}"/>
    <cellStyle name="Calculation 2" xfId="59" xr:uid="{00000000-0005-0000-0000-000039000000}"/>
    <cellStyle name="Check Cell 2" xfId="17" xr:uid="{00000000-0005-0000-0000-00003A000000}"/>
    <cellStyle name="Check Cell 2 2" xfId="60" xr:uid="{00000000-0005-0000-0000-00003B000000}"/>
    <cellStyle name="Comma 2 2" xfId="62" xr:uid="{00000000-0005-0000-0000-00003C000000}"/>
    <cellStyle name="Comma 2 2 2" xfId="63" xr:uid="{00000000-0005-0000-0000-00003D000000}"/>
    <cellStyle name="Comma 2 2 2 2" xfId="196" xr:uid="{00000000-0005-0000-0000-00003E000000}"/>
    <cellStyle name="Comma 2 2 3" xfId="64" xr:uid="{00000000-0005-0000-0000-00003F000000}"/>
    <cellStyle name="Comma 2 2 3 2" xfId="197" xr:uid="{00000000-0005-0000-0000-000040000000}"/>
    <cellStyle name="Comma 2 2 4" xfId="65" xr:uid="{00000000-0005-0000-0000-000041000000}"/>
    <cellStyle name="Comma 2 2 4 2" xfId="198" xr:uid="{00000000-0005-0000-0000-000042000000}"/>
    <cellStyle name="Comma 2 2 5" xfId="66" xr:uid="{00000000-0005-0000-0000-000043000000}"/>
    <cellStyle name="Comma 2 2 5 2" xfId="199" xr:uid="{00000000-0005-0000-0000-000044000000}"/>
    <cellStyle name="Comma 2 2 6" xfId="67" xr:uid="{00000000-0005-0000-0000-000045000000}"/>
    <cellStyle name="Comma 2 2 6 2" xfId="200" xr:uid="{00000000-0005-0000-0000-000046000000}"/>
    <cellStyle name="Comma 2 2 7" xfId="195" xr:uid="{00000000-0005-0000-0000-000047000000}"/>
    <cellStyle name="Comma 2 3" xfId="68" xr:uid="{00000000-0005-0000-0000-000048000000}"/>
    <cellStyle name="Comma 2 3 2" xfId="302" xr:uid="{00000000-0005-0000-0000-000049000000}"/>
    <cellStyle name="Comma 54 4" xfId="425" xr:uid="{00000000-0005-0000-0000-00004A000000}"/>
    <cellStyle name="Comma 9" xfId="69" xr:uid="{00000000-0005-0000-0000-00004B000000}"/>
    <cellStyle name="Comma 9 2" xfId="70" xr:uid="{00000000-0005-0000-0000-00004C000000}"/>
    <cellStyle name="Comma 9 2 2" xfId="304" xr:uid="{00000000-0005-0000-0000-00004D000000}"/>
    <cellStyle name="Comma 9 3" xfId="303" xr:uid="{00000000-0005-0000-0000-00004E000000}"/>
    <cellStyle name="Excel Built-in Normal" xfId="71" xr:uid="{00000000-0005-0000-0000-00004F000000}"/>
    <cellStyle name="Explanatory Text 2" xfId="72" xr:uid="{00000000-0005-0000-0000-000050000000}"/>
    <cellStyle name="Good 2" xfId="73" xr:uid="{00000000-0005-0000-0000-000051000000}"/>
    <cellStyle name="Heading 1 2" xfId="74" xr:uid="{00000000-0005-0000-0000-000052000000}"/>
    <cellStyle name="Heading 2 2" xfId="75" xr:uid="{00000000-0005-0000-0000-000053000000}"/>
    <cellStyle name="Heading 3 2" xfId="76" xr:uid="{00000000-0005-0000-0000-000054000000}"/>
    <cellStyle name="Heading 4 2" xfId="77" xr:uid="{00000000-0005-0000-0000-000055000000}"/>
    <cellStyle name="Input 2" xfId="78" xr:uid="{00000000-0005-0000-0000-000056000000}"/>
    <cellStyle name="Linked Cell 2" xfId="79" xr:uid="{00000000-0005-0000-0000-000057000000}"/>
    <cellStyle name="Neutral 2" xfId="80" xr:uid="{00000000-0005-0000-0000-000058000000}"/>
    <cellStyle name="Normal 10" xfId="284" xr:uid="{00000000-0005-0000-0000-000059000000}"/>
    <cellStyle name="Normal 10 2" xfId="412" xr:uid="{00000000-0005-0000-0000-00005A000000}"/>
    <cellStyle name="Normal 11" xfId="285" xr:uid="{00000000-0005-0000-0000-00005B000000}"/>
    <cellStyle name="Normal 11 2" xfId="413" xr:uid="{00000000-0005-0000-0000-00005C000000}"/>
    <cellStyle name="Normal 12" xfId="81" xr:uid="{00000000-0005-0000-0000-00005D000000}"/>
    <cellStyle name="Normal 12 2" xfId="82" xr:uid="{00000000-0005-0000-0000-00005E000000}"/>
    <cellStyle name="Normal 12 2 2" xfId="306" xr:uid="{00000000-0005-0000-0000-00005F000000}"/>
    <cellStyle name="Normal 12 3" xfId="305" xr:uid="{00000000-0005-0000-0000-000060000000}"/>
    <cellStyle name="Normal 13" xfId="83" xr:uid="{00000000-0005-0000-0000-000061000000}"/>
    <cellStyle name="Normal 13 2" xfId="84" xr:uid="{00000000-0005-0000-0000-000062000000}"/>
    <cellStyle name="Normal 13 2 2" xfId="308" xr:uid="{00000000-0005-0000-0000-000063000000}"/>
    <cellStyle name="Normal 13 3" xfId="307" xr:uid="{00000000-0005-0000-0000-000064000000}"/>
    <cellStyle name="Normal 14" xfId="85" xr:uid="{00000000-0005-0000-0000-000065000000}"/>
    <cellStyle name="Normal 14 2" xfId="86" xr:uid="{00000000-0005-0000-0000-000066000000}"/>
    <cellStyle name="Normal 14 2 2" xfId="310" xr:uid="{00000000-0005-0000-0000-000067000000}"/>
    <cellStyle name="Normal 14 3" xfId="309" xr:uid="{00000000-0005-0000-0000-000068000000}"/>
    <cellStyle name="Normal 149 2" xfId="278" xr:uid="{00000000-0005-0000-0000-000069000000}"/>
    <cellStyle name="Normal 15" xfId="87" xr:uid="{00000000-0005-0000-0000-00006A000000}"/>
    <cellStyle name="Normal 15 2" xfId="88" xr:uid="{00000000-0005-0000-0000-00006B000000}"/>
    <cellStyle name="Normal 15 2 2" xfId="312" xr:uid="{00000000-0005-0000-0000-00006C000000}"/>
    <cellStyle name="Normal 15 3" xfId="311" xr:uid="{00000000-0005-0000-0000-00006D000000}"/>
    <cellStyle name="Normal 16" xfId="89" xr:uid="{00000000-0005-0000-0000-00006E000000}"/>
    <cellStyle name="Normal 16 2" xfId="90" xr:uid="{00000000-0005-0000-0000-00006F000000}"/>
    <cellStyle name="Normal 16 2 2" xfId="314" xr:uid="{00000000-0005-0000-0000-000070000000}"/>
    <cellStyle name="Normal 16 3" xfId="313" xr:uid="{00000000-0005-0000-0000-000071000000}"/>
    <cellStyle name="Normal 17" xfId="91" xr:uid="{00000000-0005-0000-0000-000072000000}"/>
    <cellStyle name="Normal 18" xfId="92" xr:uid="{00000000-0005-0000-0000-000073000000}"/>
    <cellStyle name="Normal 18 2" xfId="93" xr:uid="{00000000-0005-0000-0000-000074000000}"/>
    <cellStyle name="Normal 18 2 2" xfId="316" xr:uid="{00000000-0005-0000-0000-000075000000}"/>
    <cellStyle name="Normal 18 3" xfId="315" xr:uid="{00000000-0005-0000-0000-000076000000}"/>
    <cellStyle name="Normal 19" xfId="94" xr:uid="{00000000-0005-0000-0000-000077000000}"/>
    <cellStyle name="Normal 19 2" xfId="95" xr:uid="{00000000-0005-0000-0000-000078000000}"/>
    <cellStyle name="Normal 19 2 2" xfId="318" xr:uid="{00000000-0005-0000-0000-000079000000}"/>
    <cellStyle name="Normal 19 3" xfId="317" xr:uid="{00000000-0005-0000-0000-00007A000000}"/>
    <cellStyle name="Normal 2" xfId="2" xr:uid="{00000000-0005-0000-0000-00007B000000}"/>
    <cellStyle name="Normal 2 10" xfId="96" xr:uid="{00000000-0005-0000-0000-00007C000000}"/>
    <cellStyle name="Normal 2 11" xfId="97" xr:uid="{00000000-0005-0000-0000-00007D000000}"/>
    <cellStyle name="Normal 2 12" xfId="98" xr:uid="{00000000-0005-0000-0000-00007E000000}"/>
    <cellStyle name="Normal 2 13" xfId="99" xr:uid="{00000000-0005-0000-0000-00007F000000}"/>
    <cellStyle name="Normal 2 14" xfId="217" xr:uid="{00000000-0005-0000-0000-000080000000}"/>
    <cellStyle name="Normal 2 14 2" xfId="225" xr:uid="{00000000-0005-0000-0000-000081000000}"/>
    <cellStyle name="Normal 2 14 2 2" xfId="241" xr:uid="{00000000-0005-0000-0000-000082000000}"/>
    <cellStyle name="Normal 2 14 2 2 2" xfId="274" xr:uid="{00000000-0005-0000-0000-000083000000}"/>
    <cellStyle name="Normal 2 14 2 2 2 2" xfId="408" xr:uid="{00000000-0005-0000-0000-000084000000}"/>
    <cellStyle name="Normal 2 14 2 2 3" xfId="376" xr:uid="{00000000-0005-0000-0000-000085000000}"/>
    <cellStyle name="Normal 2 14 2 3" xfId="258" xr:uid="{00000000-0005-0000-0000-000086000000}"/>
    <cellStyle name="Normal 2 14 2 3 2" xfId="392" xr:uid="{00000000-0005-0000-0000-000087000000}"/>
    <cellStyle name="Normal 2 14 2 4" xfId="360" xr:uid="{00000000-0005-0000-0000-000088000000}"/>
    <cellStyle name="Normal 2 14 3" xfId="233" xr:uid="{00000000-0005-0000-0000-000089000000}"/>
    <cellStyle name="Normal 2 14 3 2" xfId="266" xr:uid="{00000000-0005-0000-0000-00008A000000}"/>
    <cellStyle name="Normal 2 14 3 2 2" xfId="400" xr:uid="{00000000-0005-0000-0000-00008B000000}"/>
    <cellStyle name="Normal 2 14 3 3" xfId="368" xr:uid="{00000000-0005-0000-0000-00008C000000}"/>
    <cellStyle name="Normal 2 14 4" xfId="250" xr:uid="{00000000-0005-0000-0000-00008D000000}"/>
    <cellStyle name="Normal 2 14 4 2" xfId="384" xr:uid="{00000000-0005-0000-0000-00008E000000}"/>
    <cellStyle name="Normal 2 14 5" xfId="352" xr:uid="{00000000-0005-0000-0000-00008F000000}"/>
    <cellStyle name="Normal 2 15" xfId="221" xr:uid="{00000000-0005-0000-0000-000090000000}"/>
    <cellStyle name="Normal 2 15 2" xfId="237" xr:uid="{00000000-0005-0000-0000-000091000000}"/>
    <cellStyle name="Normal 2 15 2 2" xfId="270" xr:uid="{00000000-0005-0000-0000-000092000000}"/>
    <cellStyle name="Normal 2 15 2 2 2" xfId="404" xr:uid="{00000000-0005-0000-0000-000093000000}"/>
    <cellStyle name="Normal 2 15 2 3" xfId="372" xr:uid="{00000000-0005-0000-0000-000094000000}"/>
    <cellStyle name="Normal 2 15 3" xfId="254" xr:uid="{00000000-0005-0000-0000-000095000000}"/>
    <cellStyle name="Normal 2 15 3 2" xfId="388" xr:uid="{00000000-0005-0000-0000-000096000000}"/>
    <cellStyle name="Normal 2 15 4" xfId="356" xr:uid="{00000000-0005-0000-0000-000097000000}"/>
    <cellStyle name="Normal 2 16" xfId="229" xr:uid="{00000000-0005-0000-0000-000098000000}"/>
    <cellStyle name="Normal 2 16 2" xfId="262" xr:uid="{00000000-0005-0000-0000-000099000000}"/>
    <cellStyle name="Normal 2 16 2 2" xfId="396" xr:uid="{00000000-0005-0000-0000-00009A000000}"/>
    <cellStyle name="Normal 2 16 3" xfId="364" xr:uid="{00000000-0005-0000-0000-00009B000000}"/>
    <cellStyle name="Normal 2 17" xfId="246" xr:uid="{00000000-0005-0000-0000-00009C000000}"/>
    <cellStyle name="Normal 2 17 2" xfId="380" xr:uid="{00000000-0005-0000-0000-00009D000000}"/>
    <cellStyle name="Normal 2 18" xfId="276" xr:uid="{00000000-0005-0000-0000-00009E000000}"/>
    <cellStyle name="Normal 2 18 2" xfId="457" xr:uid="{00000000-0005-0000-0000-00009F000000}"/>
    <cellStyle name="Normal 2 19" xfId="348" xr:uid="{00000000-0005-0000-0000-0000A0000000}"/>
    <cellStyle name="Normal 2 2" xfId="100" xr:uid="{00000000-0005-0000-0000-0000A1000000}"/>
    <cellStyle name="Normal 2 2 10" xfId="101" xr:uid="{00000000-0005-0000-0000-0000A2000000}"/>
    <cellStyle name="Normal 2 2 11" xfId="102" xr:uid="{00000000-0005-0000-0000-0000A3000000}"/>
    <cellStyle name="Normal 2 2 12" xfId="103" xr:uid="{00000000-0005-0000-0000-0000A4000000}"/>
    <cellStyle name="Normal 2 2 13" xfId="104" xr:uid="{00000000-0005-0000-0000-0000A5000000}"/>
    <cellStyle name="Normal 2 2 13 2" xfId="319" xr:uid="{00000000-0005-0000-0000-0000A6000000}"/>
    <cellStyle name="Normal 2 2 14" xfId="436" xr:uid="{00000000-0005-0000-0000-0000A7000000}"/>
    <cellStyle name="Normal 2 2 14 2" xfId="458" xr:uid="{00000000-0005-0000-0000-0000A8000000}"/>
    <cellStyle name="Normal 2 2 2" xfId="105" xr:uid="{00000000-0005-0000-0000-0000A9000000}"/>
    <cellStyle name="Normal 2 2 2 2" xfId="106" xr:uid="{00000000-0005-0000-0000-0000AA000000}"/>
    <cellStyle name="Normal 2 2 2 2 2" xfId="202" xr:uid="{00000000-0005-0000-0000-0000AB000000}"/>
    <cellStyle name="Normal 2 2 2 3" xfId="107" xr:uid="{00000000-0005-0000-0000-0000AC000000}"/>
    <cellStyle name="Normal 2 2 2 3 2" xfId="320" xr:uid="{00000000-0005-0000-0000-0000AD000000}"/>
    <cellStyle name="Normal 2 2 2 4" xfId="201" xr:uid="{00000000-0005-0000-0000-0000AE000000}"/>
    <cellStyle name="Normal 2 2 3" xfId="108" xr:uid="{00000000-0005-0000-0000-0000AF000000}"/>
    <cellStyle name="Normal 2 2 3 2" xfId="203" xr:uid="{00000000-0005-0000-0000-0000B0000000}"/>
    <cellStyle name="Normal 2 2 4" xfId="109" xr:uid="{00000000-0005-0000-0000-0000B1000000}"/>
    <cellStyle name="Normal 2 2 4 2" xfId="204" xr:uid="{00000000-0005-0000-0000-0000B2000000}"/>
    <cellStyle name="Normal 2 2 5" xfId="110" xr:uid="{00000000-0005-0000-0000-0000B3000000}"/>
    <cellStyle name="Normal 2 2 5 2" xfId="205" xr:uid="{00000000-0005-0000-0000-0000B4000000}"/>
    <cellStyle name="Normal 2 2 6" xfId="111" xr:uid="{00000000-0005-0000-0000-0000B5000000}"/>
    <cellStyle name="Normal 2 2 6 2" xfId="206" xr:uid="{00000000-0005-0000-0000-0000B6000000}"/>
    <cellStyle name="Normal 2 2 7" xfId="112" xr:uid="{00000000-0005-0000-0000-0000B7000000}"/>
    <cellStyle name="Normal 2 2 8" xfId="113" xr:uid="{00000000-0005-0000-0000-0000B8000000}"/>
    <cellStyle name="Normal 2 2 9" xfId="114" xr:uid="{00000000-0005-0000-0000-0000B9000000}"/>
    <cellStyle name="Normal 2 20" xfId="193" xr:uid="{00000000-0005-0000-0000-0000BA000000}"/>
    <cellStyle name="Normal 2 21" xfId="15" xr:uid="{00000000-0005-0000-0000-0000BB000000}"/>
    <cellStyle name="Normal 2 3" xfId="115" xr:uid="{00000000-0005-0000-0000-0000BC000000}"/>
    <cellStyle name="Normal 2 3 2" xfId="207" xr:uid="{00000000-0005-0000-0000-0000BD000000}"/>
    <cellStyle name="Normal 2 4" xfId="116" xr:uid="{00000000-0005-0000-0000-0000BE000000}"/>
    <cellStyle name="Normal 2 4 2" xfId="208" xr:uid="{00000000-0005-0000-0000-0000BF000000}"/>
    <cellStyle name="Normal 2 45" xfId="117" xr:uid="{00000000-0005-0000-0000-0000C0000000}"/>
    <cellStyle name="Normal 2 46" xfId="118" xr:uid="{00000000-0005-0000-0000-0000C1000000}"/>
    <cellStyle name="Normal 2 47" xfId="119" xr:uid="{00000000-0005-0000-0000-0000C2000000}"/>
    <cellStyle name="Normal 2 48" xfId="120" xr:uid="{00000000-0005-0000-0000-0000C3000000}"/>
    <cellStyle name="Normal 2 5" xfId="121" xr:uid="{00000000-0005-0000-0000-0000C4000000}"/>
    <cellStyle name="Normal 2 5 2" xfId="122" xr:uid="{00000000-0005-0000-0000-0000C5000000}"/>
    <cellStyle name="Normal 2 5 2 2" xfId="322" xr:uid="{00000000-0005-0000-0000-0000C6000000}"/>
    <cellStyle name="Normal 2 5 3" xfId="321" xr:uid="{00000000-0005-0000-0000-0000C7000000}"/>
    <cellStyle name="Normal 2 6" xfId="123" xr:uid="{00000000-0005-0000-0000-0000C8000000}"/>
    <cellStyle name="Normal 2 6 2" xfId="124" xr:uid="{00000000-0005-0000-0000-0000C9000000}"/>
    <cellStyle name="Normal 2 6 2 2" xfId="324" xr:uid="{00000000-0005-0000-0000-0000CA000000}"/>
    <cellStyle name="Normal 2 6 3" xfId="323" xr:uid="{00000000-0005-0000-0000-0000CB000000}"/>
    <cellStyle name="Normal 2 7" xfId="125" xr:uid="{00000000-0005-0000-0000-0000CC000000}"/>
    <cellStyle name="Normal 2 8" xfId="126" xr:uid="{00000000-0005-0000-0000-0000CD000000}"/>
    <cellStyle name="Normal 2 9" xfId="127" xr:uid="{00000000-0005-0000-0000-0000CE000000}"/>
    <cellStyle name="Normal 20" xfId="128" xr:uid="{00000000-0005-0000-0000-0000CF000000}"/>
    <cellStyle name="Normal 20 2" xfId="129" xr:uid="{00000000-0005-0000-0000-0000D0000000}"/>
    <cellStyle name="Normal 20 2 2" xfId="326" xr:uid="{00000000-0005-0000-0000-0000D1000000}"/>
    <cellStyle name="Normal 20 3" xfId="325" xr:uid="{00000000-0005-0000-0000-0000D2000000}"/>
    <cellStyle name="Normal 21" xfId="130" xr:uid="{00000000-0005-0000-0000-0000D3000000}"/>
    <cellStyle name="Normal 21 2" xfId="131" xr:uid="{00000000-0005-0000-0000-0000D4000000}"/>
    <cellStyle name="Normal 21 2 2" xfId="328" xr:uid="{00000000-0005-0000-0000-0000D5000000}"/>
    <cellStyle name="Normal 21 3" xfId="327" xr:uid="{00000000-0005-0000-0000-0000D6000000}"/>
    <cellStyle name="Normal 22" xfId="132" xr:uid="{00000000-0005-0000-0000-0000D7000000}"/>
    <cellStyle name="Normal 22 2" xfId="133" xr:uid="{00000000-0005-0000-0000-0000D8000000}"/>
    <cellStyle name="Normal 22 2 2" xfId="330" xr:uid="{00000000-0005-0000-0000-0000D9000000}"/>
    <cellStyle name="Normal 22 3" xfId="329" xr:uid="{00000000-0005-0000-0000-0000DA000000}"/>
    <cellStyle name="Normal 23" xfId="134" xr:uid="{00000000-0005-0000-0000-0000DB000000}"/>
    <cellStyle name="Normal 23 2" xfId="135" xr:uid="{00000000-0005-0000-0000-0000DC000000}"/>
    <cellStyle name="Normal 23 2 2" xfId="332" xr:uid="{00000000-0005-0000-0000-0000DD000000}"/>
    <cellStyle name="Normal 23 3" xfId="331" xr:uid="{00000000-0005-0000-0000-0000DE000000}"/>
    <cellStyle name="Normal 24" xfId="136" xr:uid="{00000000-0005-0000-0000-0000DF000000}"/>
    <cellStyle name="Normal 24 2" xfId="137" xr:uid="{00000000-0005-0000-0000-0000E0000000}"/>
    <cellStyle name="Normal 24 2 2" xfId="334" xr:uid="{00000000-0005-0000-0000-0000E1000000}"/>
    <cellStyle name="Normal 24 3" xfId="333" xr:uid="{00000000-0005-0000-0000-0000E2000000}"/>
    <cellStyle name="Normal 25" xfId="138" xr:uid="{00000000-0005-0000-0000-0000E3000000}"/>
    <cellStyle name="Normal 25 2" xfId="139" xr:uid="{00000000-0005-0000-0000-0000E4000000}"/>
    <cellStyle name="Normal 25 2 2" xfId="336" xr:uid="{00000000-0005-0000-0000-0000E5000000}"/>
    <cellStyle name="Normal 25 3" xfId="335" xr:uid="{00000000-0005-0000-0000-0000E6000000}"/>
    <cellStyle name="Normal 26" xfId="140" xr:uid="{00000000-0005-0000-0000-0000E7000000}"/>
    <cellStyle name="Normal 26 2" xfId="141" xr:uid="{00000000-0005-0000-0000-0000E8000000}"/>
    <cellStyle name="Normal 26 2 2" xfId="338" xr:uid="{00000000-0005-0000-0000-0000E9000000}"/>
    <cellStyle name="Normal 26 3" xfId="337" xr:uid="{00000000-0005-0000-0000-0000EA000000}"/>
    <cellStyle name="Normal 27" xfId="142" xr:uid="{00000000-0005-0000-0000-0000EB000000}"/>
    <cellStyle name="Normal 27 2" xfId="143" xr:uid="{00000000-0005-0000-0000-0000EC000000}"/>
    <cellStyle name="Normal 27 2 2" xfId="340" xr:uid="{00000000-0005-0000-0000-0000ED000000}"/>
    <cellStyle name="Normal 27 3" xfId="339" xr:uid="{00000000-0005-0000-0000-0000EE000000}"/>
    <cellStyle name="Normal 28" xfId="144" xr:uid="{00000000-0005-0000-0000-0000EF000000}"/>
    <cellStyle name="Normal 28 2" xfId="145" xr:uid="{00000000-0005-0000-0000-0000F0000000}"/>
    <cellStyle name="Normal 28 2 2" xfId="342" xr:uid="{00000000-0005-0000-0000-0000F1000000}"/>
    <cellStyle name="Normal 28 3" xfId="341" xr:uid="{00000000-0005-0000-0000-0000F2000000}"/>
    <cellStyle name="Normal 29" xfId="146" xr:uid="{00000000-0005-0000-0000-0000F3000000}"/>
    <cellStyle name="Normal 3" xfId="16" xr:uid="{00000000-0005-0000-0000-0000F4000000}"/>
    <cellStyle name="Normal 3 10" xfId="148" xr:uid="{00000000-0005-0000-0000-0000F5000000}"/>
    <cellStyle name="Normal 3 11" xfId="149" xr:uid="{00000000-0005-0000-0000-0000F6000000}"/>
    <cellStyle name="Normal 3 12" xfId="150" xr:uid="{00000000-0005-0000-0000-0000F7000000}"/>
    <cellStyle name="Normal 3 13" xfId="343" xr:uid="{00000000-0005-0000-0000-0000F8000000}"/>
    <cellStyle name="Normal 3 14" xfId="147" xr:uid="{00000000-0005-0000-0000-0000F9000000}"/>
    <cellStyle name="Normal 3 15" xfId="444" xr:uid="{00000000-0005-0000-0000-0000FA000000}"/>
    <cellStyle name="Normal 3 15 2" xfId="456" xr:uid="{00000000-0005-0000-0000-0000FB000000}"/>
    <cellStyle name="Normal 3 15 2 2" xfId="450" xr:uid="{00000000-0005-0000-0000-0000FC000000}"/>
    <cellStyle name="Normal 3 16" xfId="462" xr:uid="{00000000-0005-0000-0000-0000FD000000}"/>
    <cellStyle name="Normal 3 2" xfId="151" xr:uid="{00000000-0005-0000-0000-0000FE000000}"/>
    <cellStyle name="Normal 3 3" xfId="152" xr:uid="{00000000-0005-0000-0000-0000FF000000}"/>
    <cellStyle name="Normal 3 4" xfId="153" xr:uid="{00000000-0005-0000-0000-000000010000}"/>
    <cellStyle name="Normal 3 5" xfId="154" xr:uid="{00000000-0005-0000-0000-000001010000}"/>
    <cellStyle name="Normal 3 6" xfId="155" xr:uid="{00000000-0005-0000-0000-000002010000}"/>
    <cellStyle name="Normal 3 7" xfId="156" xr:uid="{00000000-0005-0000-0000-000003010000}"/>
    <cellStyle name="Normal 3 7 2" xfId="209" xr:uid="{00000000-0005-0000-0000-000004010000}"/>
    <cellStyle name="Normal 3 8" xfId="157" xr:uid="{00000000-0005-0000-0000-000005010000}"/>
    <cellStyle name="Normal 3 9" xfId="158" xr:uid="{00000000-0005-0000-0000-000006010000}"/>
    <cellStyle name="Normal 30" xfId="286" xr:uid="{00000000-0005-0000-0000-000007010000}"/>
    <cellStyle name="Normal 30 2" xfId="414" xr:uid="{00000000-0005-0000-0000-000008010000}"/>
    <cellStyle name="Normal 31" xfId="288" xr:uid="{00000000-0005-0000-0000-000009010000}"/>
    <cellStyle name="Normal 31 2" xfId="416" xr:uid="{00000000-0005-0000-0000-00000A010000}"/>
    <cellStyle name="Normal 32" xfId="290" xr:uid="{00000000-0005-0000-0000-00000B010000}"/>
    <cellStyle name="Normal 32 2" xfId="418" xr:uid="{00000000-0005-0000-0000-00000C010000}"/>
    <cellStyle name="Normal 33" xfId="291" xr:uid="{00000000-0005-0000-0000-00000D010000}"/>
    <cellStyle name="Normal 33 2" xfId="419" xr:uid="{00000000-0005-0000-0000-00000E010000}"/>
    <cellStyle name="Normal 34" xfId="427" xr:uid="{00000000-0005-0000-0000-00000F010000}"/>
    <cellStyle name="Normal 35" xfId="429" xr:uid="{00000000-0005-0000-0000-000010010000}"/>
    <cellStyle name="Normal 36" xfId="4" xr:uid="{00000000-0005-0000-0000-000011010000}"/>
    <cellStyle name="Normal 36 2" xfId="430" xr:uid="{00000000-0005-0000-0000-000012010000}"/>
    <cellStyle name="Normal 37" xfId="439" xr:uid="{00000000-0005-0000-0000-000013010000}"/>
    <cellStyle name="Normal 37 2" xfId="461" xr:uid="{00000000-0005-0000-0000-000014010000}"/>
    <cellStyle name="Normal 38" xfId="437" xr:uid="{00000000-0005-0000-0000-000015010000}"/>
    <cellStyle name="Normal 39" xfId="438" xr:uid="{00000000-0005-0000-0000-000016010000}"/>
    <cellStyle name="Normal 4" xfId="6" xr:uid="{00000000-0005-0000-0000-000017010000}"/>
    <cellStyle name="Normal 4 2" xfId="159" xr:uid="{00000000-0005-0000-0000-000018010000}"/>
    <cellStyle name="Normal 4 3" xfId="18" xr:uid="{00000000-0005-0000-0000-000019010000}"/>
    <cellStyle name="Normal 4 4" xfId="432" xr:uid="{00000000-0005-0000-0000-00001A010000}"/>
    <cellStyle name="Normal 40" xfId="440" xr:uid="{00000000-0005-0000-0000-00001B010000}"/>
    <cellStyle name="Normal 41" xfId="441" xr:uid="{00000000-0005-0000-0000-00001C010000}"/>
    <cellStyle name="Normal 41 2" xfId="451" xr:uid="{00000000-0005-0000-0000-00001D010000}"/>
    <cellStyle name="Normal 41 2 2" xfId="460" xr:uid="{00000000-0005-0000-0000-00001E010000}"/>
    <cellStyle name="Normal 42" xfId="443" xr:uid="{00000000-0005-0000-0000-00001F010000}"/>
    <cellStyle name="Normal 43" xfId="454" xr:uid="{00000000-0005-0000-0000-000020010000}"/>
    <cellStyle name="Normal 44" xfId="453" xr:uid="{00000000-0005-0000-0000-000021010000}"/>
    <cellStyle name="Normal 44 2" xfId="452" xr:uid="{00000000-0005-0000-0000-000022010000}"/>
    <cellStyle name="Normal 45" xfId="455" xr:uid="{00000000-0005-0000-0000-000023010000}"/>
    <cellStyle name="Normal 5" xfId="19" xr:uid="{00000000-0005-0000-0000-000024010000}"/>
    <cellStyle name="Normal 5 2" xfId="160" xr:uid="{00000000-0005-0000-0000-000025010000}"/>
    <cellStyle name="Normal 5 3" xfId="161" xr:uid="{00000000-0005-0000-0000-000026010000}"/>
    <cellStyle name="Normal 5 4" xfId="194" xr:uid="{00000000-0005-0000-0000-000027010000}"/>
    <cellStyle name="Normal 6" xfId="242" xr:uid="{00000000-0005-0000-0000-000028010000}"/>
    <cellStyle name="Normal 6 2" xfId="162" xr:uid="{00000000-0005-0000-0000-000029010000}"/>
    <cellStyle name="Normal 6 2 2" xfId="210" xr:uid="{00000000-0005-0000-0000-00002A010000}"/>
    <cellStyle name="Normal 7" xfId="279" xr:uid="{00000000-0005-0000-0000-00002B010000}"/>
    <cellStyle name="Normal 7 2" xfId="163" xr:uid="{00000000-0005-0000-0000-00002C010000}"/>
    <cellStyle name="Normal 7 2 2" xfId="211" xr:uid="{00000000-0005-0000-0000-00002D010000}"/>
    <cellStyle name="Normal 8" xfId="280" xr:uid="{00000000-0005-0000-0000-00002E010000}"/>
    <cellStyle name="Normal 8 2" xfId="409" xr:uid="{00000000-0005-0000-0000-00002F010000}"/>
    <cellStyle name="Normal 9" xfId="283" xr:uid="{00000000-0005-0000-0000-000030010000}"/>
    <cellStyle name="Normal 9 2" xfId="411" xr:uid="{00000000-0005-0000-0000-000031010000}"/>
    <cellStyle name="Note 2" xfId="164" xr:uid="{00000000-0005-0000-0000-000032010000}"/>
    <cellStyle name="Output 2" xfId="165" xr:uid="{00000000-0005-0000-0000-000033010000}"/>
    <cellStyle name="Style 1" xfId="166" xr:uid="{00000000-0005-0000-0000-000034010000}"/>
    <cellStyle name="Style 1 2" xfId="167" xr:uid="{00000000-0005-0000-0000-000035010000}"/>
    <cellStyle name="Title 2" xfId="168" xr:uid="{00000000-0005-0000-0000-000036010000}"/>
    <cellStyle name="Title 3" xfId="169" xr:uid="{00000000-0005-0000-0000-000037010000}"/>
    <cellStyle name="Title 4" xfId="170" xr:uid="{00000000-0005-0000-0000-000038010000}"/>
    <cellStyle name="Title 5" xfId="171" xr:uid="{00000000-0005-0000-0000-000039010000}"/>
    <cellStyle name="Title 6" xfId="172" xr:uid="{00000000-0005-0000-0000-00003A010000}"/>
    <cellStyle name="Total 2" xfId="173" xr:uid="{00000000-0005-0000-0000-00003B010000}"/>
    <cellStyle name="Warning Text 2" xfId="174" xr:uid="{00000000-0005-0000-0000-00003C010000}"/>
    <cellStyle name="一般" xfId="0" builtinId="0"/>
    <cellStyle name="一般 2" xfId="7" xr:uid="{00000000-0005-0000-0000-0000C9010000}"/>
    <cellStyle name="一般 2 2" xfId="433" xr:uid="{00000000-0005-0000-0000-0000CA010000}"/>
    <cellStyle name="一般 2 4" xfId="423" xr:uid="{00000000-0005-0000-0000-0000CB010000}"/>
    <cellStyle name="一般 3" xfId="8" xr:uid="{00000000-0005-0000-0000-0000CC010000}"/>
    <cellStyle name="一般 3 2" xfId="422" xr:uid="{00000000-0005-0000-0000-0000CD010000}"/>
    <cellStyle name="一般 3 3" xfId="434" xr:uid="{00000000-0005-0000-0000-0000CE010000}"/>
    <cellStyle name="千分位 2" xfId="424" xr:uid="{00000000-0005-0000-0000-0000A1010000}"/>
    <cellStyle name="千分位 2 2 2" xfId="426" xr:uid="{00000000-0005-0000-0000-0000A2010000}"/>
    <cellStyle name="千位分隔 2" xfId="175" xr:uid="{00000000-0005-0000-0000-0000A3010000}"/>
    <cellStyle name="千位分隔 2 2" xfId="212" xr:uid="{00000000-0005-0000-0000-0000A4010000}"/>
    <cellStyle name="千位分隔 3" xfId="176" xr:uid="{00000000-0005-0000-0000-0000A5010000}"/>
    <cellStyle name="千位分隔 3 2" xfId="213" xr:uid="{00000000-0005-0000-0000-0000A6010000}"/>
    <cellStyle name="千位分隔 3 2 2" xfId="222" xr:uid="{00000000-0005-0000-0000-0000A7010000}"/>
    <cellStyle name="千位分隔 3 2 2 2" xfId="238" xr:uid="{00000000-0005-0000-0000-0000A8010000}"/>
    <cellStyle name="千位分隔 3 2 2 2 2" xfId="271" xr:uid="{00000000-0005-0000-0000-0000A9010000}"/>
    <cellStyle name="千位分隔 3 2 2 2 2 2" xfId="405" xr:uid="{00000000-0005-0000-0000-0000AA010000}"/>
    <cellStyle name="千位分隔 3 2 2 2 3" xfId="373" xr:uid="{00000000-0005-0000-0000-0000AB010000}"/>
    <cellStyle name="千位分隔 3 2 2 3" xfId="255" xr:uid="{00000000-0005-0000-0000-0000AC010000}"/>
    <cellStyle name="千位分隔 3 2 2 3 2" xfId="389" xr:uid="{00000000-0005-0000-0000-0000AD010000}"/>
    <cellStyle name="千位分隔 3 2 2 4" xfId="357" xr:uid="{00000000-0005-0000-0000-0000AE010000}"/>
    <cellStyle name="千位分隔 3 2 3" xfId="230" xr:uid="{00000000-0005-0000-0000-0000AF010000}"/>
    <cellStyle name="千位分隔 3 2 3 2" xfId="263" xr:uid="{00000000-0005-0000-0000-0000B0010000}"/>
    <cellStyle name="千位分隔 3 2 3 2 2" xfId="397" xr:uid="{00000000-0005-0000-0000-0000B1010000}"/>
    <cellStyle name="千位分隔 3 2 3 3" xfId="365" xr:uid="{00000000-0005-0000-0000-0000B2010000}"/>
    <cellStyle name="千位分隔 3 2 4" xfId="247" xr:uid="{00000000-0005-0000-0000-0000B3010000}"/>
    <cellStyle name="千位分隔 3 2 4 2" xfId="381" xr:uid="{00000000-0005-0000-0000-0000B4010000}"/>
    <cellStyle name="千位分隔 3 2 5" xfId="349" xr:uid="{00000000-0005-0000-0000-0000B5010000}"/>
    <cellStyle name="千位分隔 3 3" xfId="218" xr:uid="{00000000-0005-0000-0000-0000B6010000}"/>
    <cellStyle name="千位分隔 3 3 2" xfId="234" xr:uid="{00000000-0005-0000-0000-0000B7010000}"/>
    <cellStyle name="千位分隔 3 3 2 2" xfId="267" xr:uid="{00000000-0005-0000-0000-0000B8010000}"/>
    <cellStyle name="千位分隔 3 3 2 2 2" xfId="401" xr:uid="{00000000-0005-0000-0000-0000B9010000}"/>
    <cellStyle name="千位分隔 3 3 2 3" xfId="369" xr:uid="{00000000-0005-0000-0000-0000BA010000}"/>
    <cellStyle name="千位分隔 3 3 3" xfId="251" xr:uid="{00000000-0005-0000-0000-0000BB010000}"/>
    <cellStyle name="千位分隔 3 3 3 2" xfId="385" xr:uid="{00000000-0005-0000-0000-0000BC010000}"/>
    <cellStyle name="千位分隔 3 3 4" xfId="353" xr:uid="{00000000-0005-0000-0000-0000BD010000}"/>
    <cellStyle name="千位分隔 3 4" xfId="226" xr:uid="{00000000-0005-0000-0000-0000BE010000}"/>
    <cellStyle name="千位分隔 3 4 2" xfId="259" xr:uid="{00000000-0005-0000-0000-0000BF010000}"/>
    <cellStyle name="千位分隔 3 4 2 2" xfId="393" xr:uid="{00000000-0005-0000-0000-0000C0010000}"/>
    <cellStyle name="千位分隔 3 4 3" xfId="361" xr:uid="{00000000-0005-0000-0000-0000C1010000}"/>
    <cellStyle name="千位分隔 3 5" xfId="243" xr:uid="{00000000-0005-0000-0000-0000C2010000}"/>
    <cellStyle name="千位分隔 3 5 2" xfId="377" xr:uid="{00000000-0005-0000-0000-0000C3010000}"/>
    <cellStyle name="千位分隔 3 6" xfId="344" xr:uid="{00000000-0005-0000-0000-0000C4010000}"/>
    <cellStyle name="千位分隔 4" xfId="61" xr:uid="{00000000-0005-0000-0000-0000C5010000}"/>
    <cellStyle name="样式 1" xfId="191" xr:uid="{00000000-0005-0000-0000-0000C6010000}"/>
    <cellStyle name="常规 10" xfId="177" xr:uid="{00000000-0005-0000-0000-00003E010000}"/>
    <cellStyle name="常规 10 2" xfId="214" xr:uid="{00000000-0005-0000-0000-00003F010000}"/>
    <cellStyle name="常规 10 2 2" xfId="223" xr:uid="{00000000-0005-0000-0000-000040010000}"/>
    <cellStyle name="常规 10 2 2 2" xfId="239" xr:uid="{00000000-0005-0000-0000-000041010000}"/>
    <cellStyle name="常规 10 2 2 2 2" xfId="272" xr:uid="{00000000-0005-0000-0000-000042010000}"/>
    <cellStyle name="常规 10 2 2 2 2 2" xfId="406" xr:uid="{00000000-0005-0000-0000-000043010000}"/>
    <cellStyle name="常规 10 2 2 2 3" xfId="374" xr:uid="{00000000-0005-0000-0000-000044010000}"/>
    <cellStyle name="常规 10 2 2 3" xfId="256" xr:uid="{00000000-0005-0000-0000-000045010000}"/>
    <cellStyle name="常规 10 2 2 3 2" xfId="390" xr:uid="{00000000-0005-0000-0000-000046010000}"/>
    <cellStyle name="常规 10 2 2 4" xfId="358" xr:uid="{00000000-0005-0000-0000-000047010000}"/>
    <cellStyle name="常规 10 2 3" xfId="231" xr:uid="{00000000-0005-0000-0000-000048010000}"/>
    <cellStyle name="常规 10 2 3 2" xfId="264" xr:uid="{00000000-0005-0000-0000-000049010000}"/>
    <cellStyle name="常规 10 2 3 2 2" xfId="398" xr:uid="{00000000-0005-0000-0000-00004A010000}"/>
    <cellStyle name="常规 10 2 3 3" xfId="366" xr:uid="{00000000-0005-0000-0000-00004B010000}"/>
    <cellStyle name="常规 10 2 4" xfId="248" xr:uid="{00000000-0005-0000-0000-00004C010000}"/>
    <cellStyle name="常规 10 2 4 2" xfId="382" xr:uid="{00000000-0005-0000-0000-00004D010000}"/>
    <cellStyle name="常规 10 2 5" xfId="350" xr:uid="{00000000-0005-0000-0000-00004E010000}"/>
    <cellStyle name="常规 10 3" xfId="219" xr:uid="{00000000-0005-0000-0000-00004F010000}"/>
    <cellStyle name="常规 10 3 2" xfId="235" xr:uid="{00000000-0005-0000-0000-000050010000}"/>
    <cellStyle name="常规 10 3 2 2" xfId="268" xr:uid="{00000000-0005-0000-0000-000051010000}"/>
    <cellStyle name="常规 10 3 2 2 2" xfId="402" xr:uid="{00000000-0005-0000-0000-000052010000}"/>
    <cellStyle name="常规 10 3 2 3" xfId="370" xr:uid="{00000000-0005-0000-0000-000053010000}"/>
    <cellStyle name="常规 10 3 3" xfId="252" xr:uid="{00000000-0005-0000-0000-000054010000}"/>
    <cellStyle name="常规 10 3 3 2" xfId="386" xr:uid="{00000000-0005-0000-0000-000055010000}"/>
    <cellStyle name="常规 10 3 4" xfId="354" xr:uid="{00000000-0005-0000-0000-000056010000}"/>
    <cellStyle name="常规 10 4" xfId="227" xr:uid="{00000000-0005-0000-0000-000057010000}"/>
    <cellStyle name="常规 10 4 2" xfId="260" xr:uid="{00000000-0005-0000-0000-000058010000}"/>
    <cellStyle name="常规 10 4 2 2" xfId="394" xr:uid="{00000000-0005-0000-0000-000059010000}"/>
    <cellStyle name="常规 10 4 3" xfId="362" xr:uid="{00000000-0005-0000-0000-00005A010000}"/>
    <cellStyle name="常规 10 5" xfId="244" xr:uid="{00000000-0005-0000-0000-00005B010000}"/>
    <cellStyle name="常规 10 5 2" xfId="378" xr:uid="{00000000-0005-0000-0000-00005C010000}"/>
    <cellStyle name="常规 10 6" xfId="345" xr:uid="{00000000-0005-0000-0000-00005D010000}"/>
    <cellStyle name="常规 11" xfId="292" xr:uid="{00000000-0005-0000-0000-00005E010000}"/>
    <cellStyle name="常规 12" xfId="1" xr:uid="{00000000-0005-0000-0000-00005F010000}"/>
    <cellStyle name="常规 12 2" xfId="420" xr:uid="{00000000-0005-0000-0000-000060010000}"/>
    <cellStyle name="常规 12 2 2" xfId="445" xr:uid="{00000000-0005-0000-0000-000061010000}"/>
    <cellStyle name="常规 12 2 2 2" xfId="459" xr:uid="{00000000-0005-0000-0000-000062010000}"/>
    <cellStyle name="常规 12 3" xfId="428" xr:uid="{00000000-0005-0000-0000-000063010000}"/>
    <cellStyle name="常规 13" xfId="20" xr:uid="{00000000-0005-0000-0000-000064010000}"/>
    <cellStyle name="常规 14" xfId="421" xr:uid="{00000000-0005-0000-0000-000065010000}"/>
    <cellStyle name="常规 15" xfId="9" xr:uid="{00000000-0005-0000-0000-000066010000}"/>
    <cellStyle name="常规 2" xfId="10" xr:uid="{00000000-0005-0000-0000-000067010000}"/>
    <cellStyle name="常规 2 2" xfId="179" xr:uid="{00000000-0005-0000-0000-000068010000}"/>
    <cellStyle name="常规 2 2 2" xfId="346" xr:uid="{00000000-0005-0000-0000-000069010000}"/>
    <cellStyle name="常规 2 3" xfId="180" xr:uid="{00000000-0005-0000-0000-00006A010000}"/>
    <cellStyle name="常规 2 4" xfId="178" xr:uid="{00000000-0005-0000-0000-00006B010000}"/>
    <cellStyle name="常规 3" xfId="13" xr:uid="{00000000-0005-0000-0000-00006C010000}"/>
    <cellStyle name="常规 3 2" xfId="3" xr:uid="{00000000-0005-0000-0000-00006D010000}"/>
    <cellStyle name="常规 3 2 2" xfId="5" xr:uid="{00000000-0005-0000-0000-00006E010000}"/>
    <cellStyle name="常规 3 2 2 2" xfId="435" xr:uid="{00000000-0005-0000-0000-00006F010000}"/>
    <cellStyle name="常规 3 2 2 3" xfId="431" xr:uid="{00000000-0005-0000-0000-000070010000}"/>
    <cellStyle name="常规 3 2 2 4" xfId="447" xr:uid="{00000000-0005-0000-0000-000071010000}"/>
    <cellStyle name="常规 3 2 3" xfId="182" xr:uid="{00000000-0005-0000-0000-000072010000}"/>
    <cellStyle name="常规 3 2 4" xfId="442" xr:uid="{00000000-0005-0000-0000-000073010000}"/>
    <cellStyle name="常规 3 2 4 2" xfId="448" xr:uid="{00000000-0005-0000-0000-000074010000}"/>
    <cellStyle name="常规 3 2 9" xfId="446" xr:uid="{00000000-0005-0000-0000-000075010000}"/>
    <cellStyle name="常规 3 2 9 2" xfId="449" xr:uid="{00000000-0005-0000-0000-000076010000}"/>
    <cellStyle name="常规 3 3" xfId="181" xr:uid="{00000000-0005-0000-0000-000077010000}"/>
    <cellStyle name="常规 4" xfId="14" xr:uid="{00000000-0005-0000-0000-000078010000}"/>
    <cellStyle name="常规 4 2" xfId="184" xr:uid="{00000000-0005-0000-0000-000079010000}"/>
    <cellStyle name="常规 4 3" xfId="183" xr:uid="{00000000-0005-0000-0000-00007A010000}"/>
    <cellStyle name="常规 5" xfId="185" xr:uid="{00000000-0005-0000-0000-00007B010000}"/>
    <cellStyle name="常规 5 2" xfId="186" xr:uid="{00000000-0005-0000-0000-00007C010000}"/>
    <cellStyle name="常规 6" xfId="187" xr:uid="{00000000-0005-0000-0000-00007D010000}"/>
    <cellStyle name="常规 7" xfId="188" xr:uid="{00000000-0005-0000-0000-00007E010000}"/>
    <cellStyle name="常规 8" xfId="189" xr:uid="{00000000-0005-0000-0000-00007F010000}"/>
    <cellStyle name="常规 8 2" xfId="215" xr:uid="{00000000-0005-0000-0000-000080010000}"/>
    <cellStyle name="常规 8 2 2" xfId="224" xr:uid="{00000000-0005-0000-0000-000081010000}"/>
    <cellStyle name="常规 8 2 2 2" xfId="240" xr:uid="{00000000-0005-0000-0000-000082010000}"/>
    <cellStyle name="常规 8 2 2 2 2" xfId="273" xr:uid="{00000000-0005-0000-0000-000083010000}"/>
    <cellStyle name="常规 8 2 2 2 2 2" xfId="407" xr:uid="{00000000-0005-0000-0000-000084010000}"/>
    <cellStyle name="常规 8 2 2 2 3" xfId="375" xr:uid="{00000000-0005-0000-0000-000085010000}"/>
    <cellStyle name="常规 8 2 2 3" xfId="257" xr:uid="{00000000-0005-0000-0000-000086010000}"/>
    <cellStyle name="常规 8 2 2 3 2" xfId="391" xr:uid="{00000000-0005-0000-0000-000087010000}"/>
    <cellStyle name="常规 8 2 2 4" xfId="359" xr:uid="{00000000-0005-0000-0000-000088010000}"/>
    <cellStyle name="常规 8 2 3" xfId="232" xr:uid="{00000000-0005-0000-0000-000089010000}"/>
    <cellStyle name="常规 8 2 3 2" xfId="265" xr:uid="{00000000-0005-0000-0000-00008A010000}"/>
    <cellStyle name="常规 8 2 3 2 2" xfId="399" xr:uid="{00000000-0005-0000-0000-00008B010000}"/>
    <cellStyle name="常规 8 2 3 3" xfId="367" xr:uid="{00000000-0005-0000-0000-00008C010000}"/>
    <cellStyle name="常规 8 2 4" xfId="249" xr:uid="{00000000-0005-0000-0000-00008D010000}"/>
    <cellStyle name="常规 8 2 4 2" xfId="383" xr:uid="{00000000-0005-0000-0000-00008E010000}"/>
    <cellStyle name="常规 8 2 5" xfId="351" xr:uid="{00000000-0005-0000-0000-00008F010000}"/>
    <cellStyle name="常规 8 3" xfId="220" xr:uid="{00000000-0005-0000-0000-000090010000}"/>
    <cellStyle name="常规 8 3 2" xfId="236" xr:uid="{00000000-0005-0000-0000-000091010000}"/>
    <cellStyle name="常规 8 3 2 2" xfId="269" xr:uid="{00000000-0005-0000-0000-000092010000}"/>
    <cellStyle name="常规 8 3 2 2 2" xfId="403" xr:uid="{00000000-0005-0000-0000-000093010000}"/>
    <cellStyle name="常规 8 3 2 3" xfId="371" xr:uid="{00000000-0005-0000-0000-000094010000}"/>
    <cellStyle name="常规 8 3 3" xfId="253" xr:uid="{00000000-0005-0000-0000-000095010000}"/>
    <cellStyle name="常规 8 3 3 2" xfId="387" xr:uid="{00000000-0005-0000-0000-000096010000}"/>
    <cellStyle name="常规 8 3 4" xfId="355" xr:uid="{00000000-0005-0000-0000-000097010000}"/>
    <cellStyle name="常规 8 4" xfId="228" xr:uid="{00000000-0005-0000-0000-000098010000}"/>
    <cellStyle name="常规 8 4 2" xfId="261" xr:uid="{00000000-0005-0000-0000-000099010000}"/>
    <cellStyle name="常规 8 4 2 2" xfId="395" xr:uid="{00000000-0005-0000-0000-00009A010000}"/>
    <cellStyle name="常规 8 4 3" xfId="363" xr:uid="{00000000-0005-0000-0000-00009B010000}"/>
    <cellStyle name="常规 8 5" xfId="245" xr:uid="{00000000-0005-0000-0000-00009C010000}"/>
    <cellStyle name="常规 8 5 2" xfId="379" xr:uid="{00000000-0005-0000-0000-00009D010000}"/>
    <cellStyle name="常规 8 6" xfId="347" xr:uid="{00000000-0005-0000-0000-00009E010000}"/>
    <cellStyle name="常规 9" xfId="190" xr:uid="{00000000-0005-0000-0000-00009F010000}"/>
    <cellStyle name="常规 9 2" xfId="216" xr:uid="{00000000-0005-0000-0000-0000A0010000}"/>
    <cellStyle name="樣式 1" xfId="12" xr:uid="{00000000-0005-0000-0000-0000C7010000}"/>
    <cellStyle name="樣式 1 2" xfId="192" xr:uid="{00000000-0005-0000-0000-0000C801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83"/>
  <sheetViews>
    <sheetView zoomScale="75" zoomScaleNormal="75" workbookViewId="0">
      <pane ySplit="4" topLeftCell="A59" activePane="bottomLeft" state="frozen"/>
      <selection activeCell="X50" sqref="X50"/>
      <selection pane="bottomLeft" activeCell="L72" sqref="L72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39" width="11" style="37" bestFit="1" customWidth="1"/>
    <col min="40" max="16384" width="9" style="37"/>
  </cols>
  <sheetData>
    <row r="1" spans="1:39" s="4" customFormat="1" ht="22">
      <c r="A1" s="3"/>
      <c r="B1" s="7"/>
      <c r="G1" s="7"/>
      <c r="H1" s="5"/>
      <c r="I1" s="7"/>
      <c r="J1" s="7"/>
      <c r="K1" s="7"/>
      <c r="L1" s="7"/>
      <c r="M1" s="7"/>
      <c r="N1" s="7"/>
      <c r="O1" s="5"/>
      <c r="P1" s="7"/>
      <c r="Q1" s="1" t="s">
        <v>1214</v>
      </c>
      <c r="R1" s="7"/>
      <c r="S1" s="7"/>
      <c r="T1" s="7"/>
      <c r="U1" s="7"/>
      <c r="V1" s="5"/>
      <c r="W1" s="7"/>
      <c r="X1" s="7"/>
      <c r="Y1" s="7"/>
      <c r="Z1" s="7"/>
      <c r="AA1" s="7"/>
      <c r="AB1" s="7"/>
      <c r="AC1" s="5"/>
      <c r="AD1" s="7"/>
      <c r="AE1" s="7"/>
      <c r="AF1" s="7"/>
      <c r="AG1" s="7"/>
      <c r="AH1" s="5"/>
      <c r="AI1" s="7"/>
      <c r="AJ1" s="5" t="s">
        <v>1645</v>
      </c>
      <c r="AK1" s="7"/>
      <c r="AL1" s="5"/>
      <c r="AM1" s="6"/>
    </row>
    <row r="2" spans="1:39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39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39" s="11" customFormat="1" ht="17.25" customHeight="1">
      <c r="A4" s="12" t="s">
        <v>13</v>
      </c>
      <c r="B4" s="15" t="s">
        <v>54</v>
      </c>
      <c r="C4" s="15" t="s">
        <v>55</v>
      </c>
      <c r="D4" s="15" t="s">
        <v>17</v>
      </c>
      <c r="E4" s="15" t="s">
        <v>14</v>
      </c>
      <c r="F4" s="15" t="s">
        <v>15</v>
      </c>
      <c r="G4" s="15" t="s">
        <v>56</v>
      </c>
      <c r="H4" s="14" t="s">
        <v>16</v>
      </c>
      <c r="I4" s="65" t="s">
        <v>54</v>
      </c>
      <c r="J4" s="15" t="s">
        <v>55</v>
      </c>
      <c r="K4" s="15" t="s">
        <v>17</v>
      </c>
      <c r="L4" s="15" t="s">
        <v>14</v>
      </c>
      <c r="M4" s="15" t="s">
        <v>15</v>
      </c>
      <c r="N4" s="15" t="s">
        <v>56</v>
      </c>
      <c r="O4" s="14" t="s">
        <v>16</v>
      </c>
      <c r="P4" s="15" t="s">
        <v>54</v>
      </c>
      <c r="Q4" s="15" t="s">
        <v>55</v>
      </c>
      <c r="R4" s="15" t="s">
        <v>17</v>
      </c>
      <c r="S4" s="15" t="s">
        <v>14</v>
      </c>
      <c r="T4" s="15" t="s">
        <v>15</v>
      </c>
      <c r="U4" s="15" t="s">
        <v>56</v>
      </c>
      <c r="V4" s="14" t="s">
        <v>16</v>
      </c>
      <c r="W4" s="15" t="s">
        <v>54</v>
      </c>
      <c r="X4" s="15" t="s">
        <v>55</v>
      </c>
      <c r="Y4" s="15" t="s">
        <v>17</v>
      </c>
      <c r="Z4" s="15" t="s">
        <v>14</v>
      </c>
      <c r="AA4" s="15" t="s">
        <v>15</v>
      </c>
      <c r="AB4" s="15" t="s">
        <v>56</v>
      </c>
      <c r="AC4" s="14" t="s">
        <v>16</v>
      </c>
      <c r="AD4" s="15" t="s">
        <v>54</v>
      </c>
      <c r="AE4" s="15" t="s">
        <v>55</v>
      </c>
      <c r="AF4" s="15" t="s">
        <v>17</v>
      </c>
      <c r="AG4" s="15" t="s">
        <v>14</v>
      </c>
      <c r="AH4" s="15" t="s">
        <v>15</v>
      </c>
      <c r="AI4" s="15" t="s">
        <v>56</v>
      </c>
      <c r="AJ4" s="14" t="s">
        <v>16</v>
      </c>
      <c r="AK4" s="15" t="s">
        <v>54</v>
      </c>
      <c r="AL4" s="63" t="s">
        <v>55</v>
      </c>
    </row>
    <row r="5" spans="1:39" s="11" customFormat="1" ht="16.5" customHeight="1">
      <c r="A5" s="12" t="s">
        <v>0</v>
      </c>
      <c r="B5" s="16"/>
      <c r="C5" s="16"/>
      <c r="D5" s="16"/>
      <c r="E5" s="16"/>
      <c r="F5" s="16"/>
      <c r="G5" s="16">
        <v>960</v>
      </c>
      <c r="H5" s="25"/>
      <c r="I5" s="16">
        <v>600</v>
      </c>
      <c r="J5" s="16">
        <v>830</v>
      </c>
      <c r="K5" s="16">
        <v>830</v>
      </c>
      <c r="L5" s="16">
        <v>830</v>
      </c>
      <c r="M5" s="16">
        <v>830</v>
      </c>
      <c r="N5" s="16">
        <v>600</v>
      </c>
      <c r="O5" s="25"/>
      <c r="P5" s="16">
        <v>600</v>
      </c>
      <c r="Q5" s="68">
        <v>640</v>
      </c>
      <c r="R5" s="68">
        <v>600</v>
      </c>
      <c r="S5" s="68">
        <v>610</v>
      </c>
      <c r="T5" s="51">
        <v>830</v>
      </c>
      <c r="U5" s="16">
        <v>710</v>
      </c>
      <c r="V5" s="25"/>
      <c r="W5" s="68">
        <v>640</v>
      </c>
      <c r="X5" s="16">
        <v>600</v>
      </c>
      <c r="Y5" s="16">
        <v>600</v>
      </c>
      <c r="Z5" s="16">
        <v>600</v>
      </c>
      <c r="AA5" s="16">
        <v>600</v>
      </c>
      <c r="AB5" s="68">
        <v>540</v>
      </c>
      <c r="AC5" s="25"/>
      <c r="AD5" s="68">
        <v>540</v>
      </c>
      <c r="AE5" s="16">
        <v>600</v>
      </c>
      <c r="AF5" s="16">
        <v>600</v>
      </c>
      <c r="AG5" s="16">
        <v>600</v>
      </c>
      <c r="AH5" s="51">
        <v>600</v>
      </c>
      <c r="AI5" s="51"/>
      <c r="AJ5" s="25"/>
      <c r="AK5" s="16"/>
      <c r="AL5" s="129"/>
      <c r="AM5" s="17">
        <f>+SUM(B5:AL5)</f>
        <v>15990</v>
      </c>
    </row>
    <row r="6" spans="1:39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8">
        <v>11</v>
      </c>
      <c r="J6" s="18">
        <v>11</v>
      </c>
      <c r="K6" s="18">
        <v>11</v>
      </c>
      <c r="L6" s="18">
        <v>11</v>
      </c>
      <c r="M6" s="18">
        <v>8</v>
      </c>
      <c r="N6" s="18">
        <v>8</v>
      </c>
      <c r="O6" s="25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8">
        <v>8</v>
      </c>
      <c r="X6" s="18">
        <v>8</v>
      </c>
      <c r="Y6" s="18">
        <v>8</v>
      </c>
      <c r="Z6" s="18">
        <v>8</v>
      </c>
      <c r="AA6" s="18">
        <v>8</v>
      </c>
      <c r="AB6" s="18">
        <v>8</v>
      </c>
      <c r="AC6" s="25"/>
      <c r="AD6" s="18">
        <v>8</v>
      </c>
      <c r="AE6" s="18">
        <v>8</v>
      </c>
      <c r="AF6" s="18">
        <v>8</v>
      </c>
      <c r="AG6" s="18">
        <v>8</v>
      </c>
      <c r="AH6" s="18">
        <v>8</v>
      </c>
      <c r="AI6" s="18"/>
      <c r="AJ6" s="25"/>
      <c r="AK6" s="18"/>
      <c r="AL6" s="130"/>
    </row>
    <row r="7" spans="1:39" s="17" customFormat="1" ht="16.5" customHeight="1">
      <c r="A7" s="2" t="s">
        <v>19</v>
      </c>
      <c r="B7" s="41"/>
      <c r="C7" s="41"/>
      <c r="D7" s="41"/>
      <c r="E7" s="41"/>
      <c r="F7" s="41"/>
      <c r="G7" s="41" t="s">
        <v>512</v>
      </c>
      <c r="H7" s="25"/>
      <c r="I7" s="41" t="s">
        <v>294</v>
      </c>
      <c r="J7" s="41"/>
      <c r="K7" s="41"/>
      <c r="L7" s="41"/>
      <c r="M7" s="41"/>
      <c r="N7" s="41"/>
      <c r="O7" s="25"/>
      <c r="P7" s="41"/>
      <c r="Q7" s="41" t="s">
        <v>294</v>
      </c>
      <c r="R7" s="41" t="s">
        <v>294</v>
      </c>
      <c r="S7" s="41"/>
      <c r="T7" s="41"/>
      <c r="U7" s="41"/>
      <c r="V7" s="25"/>
      <c r="W7" s="41" t="s">
        <v>294</v>
      </c>
      <c r="X7" s="41"/>
      <c r="Y7" s="41"/>
      <c r="Z7" s="41"/>
      <c r="AA7" s="41"/>
      <c r="AB7" s="41" t="s">
        <v>294</v>
      </c>
      <c r="AC7" s="25"/>
      <c r="AD7" s="41" t="s">
        <v>294</v>
      </c>
      <c r="AE7" s="41"/>
      <c r="AF7" s="41"/>
      <c r="AG7" s="41"/>
      <c r="AH7" s="41"/>
      <c r="AI7" s="41"/>
      <c r="AJ7" s="25"/>
      <c r="AK7" s="41"/>
      <c r="AL7" s="60"/>
    </row>
    <row r="8" spans="1:39" s="17" customFormat="1" ht="16.5" customHeight="1">
      <c r="A8" s="2" t="s">
        <v>20</v>
      </c>
      <c r="B8" s="20"/>
      <c r="C8" s="20"/>
      <c r="D8" s="20"/>
      <c r="E8" s="20"/>
      <c r="F8" s="20"/>
      <c r="G8" s="20"/>
      <c r="H8" s="25"/>
      <c r="I8" s="20"/>
      <c r="J8" s="20"/>
      <c r="K8" s="20"/>
      <c r="L8" s="20"/>
      <c r="M8" s="20"/>
      <c r="N8" s="20"/>
      <c r="O8" s="25"/>
      <c r="P8" s="20"/>
      <c r="Q8" s="20">
        <v>0.9</v>
      </c>
      <c r="R8" s="20">
        <v>0.7</v>
      </c>
      <c r="S8" s="20">
        <v>0.85</v>
      </c>
      <c r="T8" s="41"/>
      <c r="U8" s="41"/>
      <c r="V8" s="25"/>
      <c r="W8" s="20">
        <v>0.9</v>
      </c>
      <c r="X8" s="20"/>
      <c r="Y8" s="20"/>
      <c r="Z8" s="20"/>
      <c r="AA8" s="20"/>
      <c r="AB8" s="20">
        <v>0.9</v>
      </c>
      <c r="AC8" s="25"/>
      <c r="AD8" s="20">
        <v>0.9</v>
      </c>
      <c r="AE8" s="20"/>
      <c r="AF8" s="20"/>
      <c r="AG8" s="20"/>
      <c r="AH8" s="20"/>
      <c r="AI8" s="20"/>
      <c r="AJ8" s="25"/>
      <c r="AK8" s="20"/>
      <c r="AL8" s="60"/>
    </row>
    <row r="9" spans="1:39" s="11" customFormat="1" ht="14.25" customHeight="1">
      <c r="A9" s="229" t="s">
        <v>21</v>
      </c>
      <c r="B9" s="46"/>
      <c r="C9" s="49"/>
      <c r="D9" s="40"/>
      <c r="E9" s="40"/>
      <c r="F9" s="47"/>
      <c r="G9" s="50" t="s">
        <v>741</v>
      </c>
      <c r="H9" s="48"/>
      <c r="I9" s="40"/>
      <c r="J9" s="40"/>
      <c r="K9" s="50"/>
      <c r="L9" s="50"/>
      <c r="M9" s="40"/>
      <c r="N9" s="40"/>
      <c r="O9" s="48"/>
      <c r="P9" s="50"/>
      <c r="Q9" s="40"/>
      <c r="R9" s="40"/>
      <c r="T9" s="70" t="s">
        <v>257</v>
      </c>
      <c r="V9" s="48"/>
      <c r="X9" s="50"/>
      <c r="Y9" s="47"/>
      <c r="AA9" s="40"/>
      <c r="AC9" s="48"/>
      <c r="AD9" s="50" t="s">
        <v>337</v>
      </c>
      <c r="AE9" s="40"/>
      <c r="AF9" s="40"/>
      <c r="AG9" s="40"/>
      <c r="AI9" s="47"/>
      <c r="AJ9" s="48"/>
      <c r="AK9" s="62"/>
      <c r="AL9" s="61"/>
    </row>
    <row r="10" spans="1:39" s="11" customFormat="1" ht="14.25" customHeight="1">
      <c r="A10" s="230"/>
      <c r="B10" s="22"/>
      <c r="C10" s="22"/>
      <c r="D10" s="40"/>
      <c r="E10" s="40"/>
      <c r="F10" s="21"/>
      <c r="G10" s="171" t="s">
        <v>1361</v>
      </c>
      <c r="H10" s="48"/>
      <c r="I10" s="40"/>
      <c r="J10" s="40"/>
      <c r="K10" s="22"/>
      <c r="M10" s="40"/>
      <c r="N10" s="40"/>
      <c r="O10" s="48"/>
      <c r="P10" s="22"/>
      <c r="Q10" s="40"/>
      <c r="R10" s="40"/>
      <c r="S10" s="40"/>
      <c r="T10" s="22" t="s">
        <v>718</v>
      </c>
      <c r="U10" s="40"/>
      <c r="V10" s="48"/>
      <c r="W10" s="40"/>
      <c r="X10" s="40"/>
      <c r="Y10" s="40"/>
      <c r="Z10" s="40"/>
      <c r="AA10" s="40"/>
      <c r="AB10" s="40"/>
      <c r="AC10" s="48"/>
      <c r="AD10" s="171" t="s">
        <v>338</v>
      </c>
      <c r="AE10" s="40"/>
      <c r="AF10" s="40"/>
      <c r="AG10" s="40"/>
      <c r="AH10" s="40"/>
      <c r="AI10" s="21"/>
      <c r="AJ10" s="48"/>
      <c r="AK10" s="58"/>
      <c r="AL10" s="61"/>
    </row>
    <row r="11" spans="1:39" s="11" customFormat="1" ht="14.25" customHeight="1">
      <c r="A11" s="230"/>
      <c r="B11" s="22"/>
      <c r="C11" s="22"/>
      <c r="D11" s="40"/>
      <c r="E11" s="40"/>
      <c r="F11" s="21"/>
      <c r="G11" s="171" t="s">
        <v>1362</v>
      </c>
      <c r="H11" s="48"/>
      <c r="I11" s="40"/>
      <c r="J11" s="40"/>
      <c r="K11" s="22"/>
      <c r="L11" s="40"/>
      <c r="M11" s="40"/>
      <c r="N11" s="40"/>
      <c r="O11" s="48"/>
      <c r="P11" s="22"/>
      <c r="Q11" s="40"/>
      <c r="R11" s="40"/>
      <c r="S11" s="40"/>
      <c r="T11" s="22" t="s">
        <v>719</v>
      </c>
      <c r="U11" s="40"/>
      <c r="V11" s="48"/>
      <c r="W11" s="40"/>
      <c r="X11" s="40"/>
      <c r="Y11" s="40"/>
      <c r="Z11" s="40"/>
      <c r="AA11" s="40"/>
      <c r="AB11" s="40"/>
      <c r="AC11" s="48"/>
      <c r="AD11" s="171" t="s">
        <v>339</v>
      </c>
      <c r="AE11" s="40"/>
      <c r="AF11" s="40"/>
      <c r="AG11" s="40"/>
      <c r="AH11" s="40"/>
      <c r="AI11" s="21"/>
      <c r="AJ11" s="48"/>
      <c r="AK11" s="58"/>
      <c r="AL11" s="61"/>
    </row>
    <row r="12" spans="1:39" s="11" customFormat="1" ht="14.25" customHeight="1">
      <c r="A12" s="230"/>
      <c r="B12" s="22"/>
      <c r="C12" s="40"/>
      <c r="D12" s="40"/>
      <c r="E12" s="40"/>
      <c r="F12" s="21"/>
      <c r="G12" s="171" t="s">
        <v>1363</v>
      </c>
      <c r="H12" s="48"/>
      <c r="I12" s="40"/>
      <c r="J12" s="40"/>
      <c r="K12" s="22"/>
      <c r="L12" s="40"/>
      <c r="M12" s="40"/>
      <c r="N12" s="40"/>
      <c r="O12" s="48"/>
      <c r="P12" s="22"/>
      <c r="Q12" s="40"/>
      <c r="R12" s="40"/>
      <c r="S12" s="40"/>
      <c r="T12" s="22" t="s">
        <v>716</v>
      </c>
      <c r="U12" s="40"/>
      <c r="V12" s="48"/>
      <c r="W12" s="40"/>
      <c r="X12" s="40"/>
      <c r="Y12" s="40"/>
      <c r="Z12" s="40"/>
      <c r="AA12" s="40"/>
      <c r="AB12" s="40"/>
      <c r="AC12" s="48"/>
      <c r="AD12" s="77" t="s">
        <v>340</v>
      </c>
      <c r="AE12" s="40"/>
      <c r="AF12" s="40"/>
      <c r="AG12" s="40"/>
      <c r="AH12" s="40"/>
      <c r="AI12" s="21"/>
      <c r="AJ12" s="48"/>
      <c r="AK12" s="58"/>
      <c r="AL12" s="61"/>
    </row>
    <row r="13" spans="1:39" s="11" customFormat="1" ht="14.25" customHeight="1">
      <c r="A13" s="230"/>
      <c r="B13" s="22"/>
      <c r="C13" s="40"/>
      <c r="D13" s="40"/>
      <c r="E13" s="40"/>
      <c r="F13" s="21"/>
      <c r="G13" s="171" t="s">
        <v>1364</v>
      </c>
      <c r="H13" s="48"/>
      <c r="J13" s="40"/>
      <c r="K13" s="40"/>
      <c r="L13" s="40"/>
      <c r="M13" s="40"/>
      <c r="N13" s="40"/>
      <c r="O13" s="48"/>
      <c r="P13" s="22"/>
      <c r="Q13" s="40"/>
      <c r="R13" s="40"/>
      <c r="S13" s="40"/>
      <c r="T13" s="70" t="s">
        <v>101</v>
      </c>
      <c r="U13" s="40"/>
      <c r="V13" s="48"/>
      <c r="W13" s="40"/>
      <c r="X13" s="40"/>
      <c r="Y13" s="40"/>
      <c r="Z13" s="40"/>
      <c r="AA13" s="40"/>
      <c r="AB13" s="40"/>
      <c r="AC13" s="48"/>
      <c r="AD13" s="171" t="s">
        <v>341</v>
      </c>
      <c r="AE13" s="40"/>
      <c r="AF13" s="40"/>
      <c r="AG13" s="40"/>
      <c r="AH13" s="40"/>
      <c r="AI13" s="21"/>
      <c r="AJ13" s="48"/>
      <c r="AK13" s="58"/>
      <c r="AL13" s="61"/>
    </row>
    <row r="14" spans="1:39" s="11" customFormat="1" ht="14.25" customHeight="1">
      <c r="A14" s="230"/>
      <c r="B14" s="22"/>
      <c r="C14" s="40"/>
      <c r="D14" s="40"/>
      <c r="E14" s="40"/>
      <c r="F14" s="21"/>
      <c r="G14" s="211" t="s">
        <v>1365</v>
      </c>
      <c r="H14" s="48"/>
      <c r="I14" s="40"/>
      <c r="J14" s="40"/>
      <c r="K14" s="40"/>
      <c r="L14" s="40"/>
      <c r="M14" s="40"/>
      <c r="N14" s="40"/>
      <c r="O14" s="48"/>
      <c r="P14" s="22"/>
      <c r="Q14" s="40"/>
      <c r="R14" s="40"/>
      <c r="S14" s="40"/>
      <c r="T14" s="22" t="s">
        <v>106</v>
      </c>
      <c r="U14" s="40"/>
      <c r="V14" s="48"/>
      <c r="W14" s="40"/>
      <c r="X14" s="40"/>
      <c r="Y14" s="40"/>
      <c r="Z14" s="40"/>
      <c r="AA14" s="40"/>
      <c r="AB14" s="40"/>
      <c r="AC14" s="48"/>
      <c r="AD14" s="79" t="s">
        <v>342</v>
      </c>
      <c r="AE14" s="40"/>
      <c r="AF14" s="40"/>
      <c r="AG14" s="40"/>
      <c r="AH14" s="40"/>
      <c r="AI14" s="21"/>
      <c r="AJ14" s="231">
        <f>+SUM(B33:AL33)</f>
        <v>15096</v>
      </c>
      <c r="AK14" s="232"/>
      <c r="AL14" s="23" t="s">
        <v>1</v>
      </c>
    </row>
    <row r="15" spans="1:39" s="11" customFormat="1" ht="14.25" customHeight="1">
      <c r="A15" s="230"/>
      <c r="B15" s="22"/>
      <c r="C15" s="40"/>
      <c r="D15" s="203"/>
      <c r="E15" s="40"/>
      <c r="F15" s="21"/>
      <c r="G15" s="22" t="s">
        <v>1326</v>
      </c>
      <c r="H15" s="48"/>
      <c r="I15" s="40"/>
      <c r="J15" s="40"/>
      <c r="K15" s="40"/>
      <c r="L15" s="40"/>
      <c r="M15" s="40"/>
      <c r="N15" s="40"/>
      <c r="O15" s="48"/>
      <c r="P15" s="40"/>
      <c r="Q15" s="40"/>
      <c r="R15" s="40"/>
      <c r="S15" s="40"/>
      <c r="T15" s="22" t="s">
        <v>103</v>
      </c>
      <c r="U15" s="40"/>
      <c r="V15" s="48"/>
      <c r="W15" s="40"/>
      <c r="X15" s="40"/>
      <c r="Y15" s="40"/>
      <c r="Z15" s="40"/>
      <c r="AA15" s="40"/>
      <c r="AB15" s="40"/>
      <c r="AC15" s="48"/>
      <c r="AD15" s="171" t="s">
        <v>343</v>
      </c>
      <c r="AE15" s="40"/>
      <c r="AF15" s="40"/>
      <c r="AG15" s="40"/>
      <c r="AH15" s="40"/>
      <c r="AI15" s="21"/>
      <c r="AJ15" s="48"/>
      <c r="AK15" s="58"/>
      <c r="AL15" s="61"/>
    </row>
    <row r="16" spans="1:39" s="11" customFormat="1" ht="14.25" customHeight="1">
      <c r="A16" s="230"/>
      <c r="B16" s="22"/>
      <c r="C16" s="40"/>
      <c r="D16" s="40"/>
      <c r="E16" s="40"/>
      <c r="F16" s="21"/>
      <c r="G16" s="22" t="s">
        <v>744</v>
      </c>
      <c r="H16" s="48"/>
      <c r="I16" s="40"/>
      <c r="J16" s="40"/>
      <c r="K16" s="40"/>
      <c r="L16" s="40"/>
      <c r="M16" s="40"/>
      <c r="N16" s="40"/>
      <c r="O16" s="48"/>
      <c r="P16" s="40"/>
      <c r="Q16" s="40"/>
      <c r="R16" s="40"/>
      <c r="S16" s="40"/>
      <c r="T16" s="22" t="s">
        <v>104</v>
      </c>
      <c r="U16" s="40"/>
      <c r="V16" s="48"/>
      <c r="W16" s="40"/>
      <c r="X16" s="40"/>
      <c r="Y16" s="40"/>
      <c r="Z16" s="40"/>
      <c r="AA16" s="40"/>
      <c r="AB16" s="40"/>
      <c r="AC16" s="48"/>
      <c r="AD16" s="171" t="s">
        <v>344</v>
      </c>
      <c r="AE16" s="40"/>
      <c r="AF16" s="40"/>
      <c r="AG16" s="40"/>
      <c r="AH16" s="40"/>
      <c r="AI16" s="21"/>
      <c r="AJ16" s="48"/>
      <c r="AK16" s="58"/>
      <c r="AL16" s="61"/>
    </row>
    <row r="17" spans="1:38" s="11" customFormat="1" ht="14.25" customHeight="1">
      <c r="A17" s="230"/>
      <c r="B17" s="22"/>
      <c r="C17" s="40"/>
      <c r="D17" s="40"/>
      <c r="E17" s="40"/>
      <c r="F17" s="21"/>
      <c r="G17" s="22" t="s">
        <v>745</v>
      </c>
      <c r="H17" s="48"/>
      <c r="I17" s="40"/>
      <c r="J17" s="40"/>
      <c r="K17" s="53"/>
      <c r="L17" s="40"/>
      <c r="M17" s="40"/>
      <c r="N17" s="40"/>
      <c r="O17" s="48"/>
      <c r="P17" s="40"/>
      <c r="Q17" s="40"/>
      <c r="R17" s="40"/>
      <c r="S17" s="40"/>
      <c r="T17" s="22" t="s">
        <v>1049</v>
      </c>
      <c r="U17" s="40"/>
      <c r="V17" s="48"/>
      <c r="W17" s="40"/>
      <c r="X17" s="40"/>
      <c r="Y17" s="40"/>
      <c r="Z17" s="40"/>
      <c r="AA17" s="40"/>
      <c r="AB17" s="40"/>
      <c r="AC17" s="48"/>
      <c r="AD17" s="195" t="s">
        <v>1359</v>
      </c>
      <c r="AE17" s="40"/>
      <c r="AF17" s="40"/>
      <c r="AG17" s="40"/>
      <c r="AH17" s="40"/>
      <c r="AI17" s="21"/>
      <c r="AJ17" s="48"/>
      <c r="AL17" s="61"/>
    </row>
    <row r="18" spans="1:38" s="11" customFormat="1" ht="14.25" customHeight="1">
      <c r="A18" s="230"/>
      <c r="B18" s="22"/>
      <c r="C18" s="40"/>
      <c r="D18" s="40"/>
      <c r="E18" s="40"/>
      <c r="F18" s="21"/>
      <c r="G18" s="55" t="s">
        <v>731</v>
      </c>
      <c r="H18" s="48"/>
      <c r="I18" s="40"/>
      <c r="J18" s="40"/>
      <c r="K18" s="53"/>
      <c r="L18" s="40"/>
      <c r="M18" s="40"/>
      <c r="N18" s="40"/>
      <c r="O18" s="48"/>
      <c r="P18" s="40"/>
      <c r="Q18" s="40"/>
      <c r="R18" s="40"/>
      <c r="S18" s="40"/>
      <c r="T18" s="86" t="s">
        <v>616</v>
      </c>
      <c r="U18" s="40"/>
      <c r="V18" s="48"/>
      <c r="W18" s="40"/>
      <c r="X18" s="40"/>
      <c r="Y18" s="40"/>
      <c r="Z18" s="40"/>
      <c r="AA18" s="40"/>
      <c r="AB18" s="40"/>
      <c r="AC18" s="48"/>
      <c r="AD18" s="40"/>
      <c r="AE18" s="40"/>
      <c r="AF18" s="40"/>
      <c r="AG18" s="40"/>
      <c r="AH18" s="40"/>
      <c r="AI18" s="21"/>
      <c r="AJ18" s="48"/>
      <c r="AK18" s="58"/>
      <c r="AL18" s="61"/>
    </row>
    <row r="19" spans="1:38" s="11" customFormat="1" ht="14.25" customHeight="1">
      <c r="A19" s="230"/>
      <c r="B19" s="91"/>
      <c r="C19" s="40"/>
      <c r="D19" s="40"/>
      <c r="E19" s="40"/>
      <c r="F19" s="21"/>
      <c r="G19" s="22" t="s">
        <v>732</v>
      </c>
      <c r="H19" s="48"/>
      <c r="I19" s="40"/>
      <c r="J19" s="40"/>
      <c r="K19" s="53"/>
      <c r="L19" s="40"/>
      <c r="M19" s="40"/>
      <c r="N19" s="40"/>
      <c r="O19" s="48"/>
      <c r="P19" s="40"/>
      <c r="Q19" s="40"/>
      <c r="R19" s="40"/>
      <c r="S19" s="40"/>
      <c r="T19" s="22" t="s">
        <v>617</v>
      </c>
      <c r="U19" s="40"/>
      <c r="V19" s="48"/>
      <c r="W19" s="40"/>
      <c r="X19" s="40"/>
      <c r="Y19" s="40"/>
      <c r="Z19" s="40"/>
      <c r="AA19" s="40"/>
      <c r="AB19" s="40"/>
      <c r="AC19" s="48"/>
      <c r="AD19" s="40"/>
      <c r="AE19" s="40"/>
      <c r="AF19" s="40"/>
      <c r="AG19" s="40"/>
      <c r="AH19" s="40"/>
      <c r="AI19" s="21"/>
      <c r="AJ19" s="48"/>
      <c r="AK19" s="156"/>
      <c r="AL19" s="61"/>
    </row>
    <row r="20" spans="1:38" s="11" customFormat="1" ht="14.25" customHeight="1">
      <c r="A20" s="230"/>
      <c r="B20" s="91"/>
      <c r="C20" s="22"/>
      <c r="D20" s="40"/>
      <c r="E20" s="40"/>
      <c r="F20" s="21"/>
      <c r="G20" s="22" t="s">
        <v>733</v>
      </c>
      <c r="H20" s="48"/>
      <c r="I20" s="40"/>
      <c r="J20" s="40"/>
      <c r="K20" s="40"/>
      <c r="L20" s="40"/>
      <c r="M20" s="40"/>
      <c r="N20" s="40"/>
      <c r="O20" s="48"/>
      <c r="P20" s="40"/>
      <c r="Q20" s="40"/>
      <c r="R20" s="40"/>
      <c r="S20" s="40"/>
      <c r="T20" s="22" t="s">
        <v>618</v>
      </c>
      <c r="U20" s="40"/>
      <c r="V20" s="48"/>
      <c r="W20" s="40"/>
      <c r="X20" s="40"/>
      <c r="Y20" s="40"/>
      <c r="Z20" s="40"/>
      <c r="AA20" s="40"/>
      <c r="AB20" s="40"/>
      <c r="AC20" s="48"/>
      <c r="AD20" s="40"/>
      <c r="AE20" s="40"/>
      <c r="AF20" s="40"/>
      <c r="AG20" s="40"/>
      <c r="AH20" s="40"/>
      <c r="AI20" s="40"/>
      <c r="AJ20" s="48"/>
      <c r="AK20" s="156"/>
      <c r="AL20" s="61"/>
    </row>
    <row r="21" spans="1:38" s="11" customFormat="1" ht="14.25" customHeight="1">
      <c r="A21" s="230"/>
      <c r="B21" s="91"/>
      <c r="C21" s="22"/>
      <c r="D21" s="40"/>
      <c r="E21" s="40"/>
      <c r="F21" s="21"/>
      <c r="G21" s="54" t="s">
        <v>101</v>
      </c>
      <c r="H21" s="48"/>
      <c r="I21" s="40"/>
      <c r="J21" s="40"/>
      <c r="K21" s="22"/>
      <c r="L21" s="40"/>
      <c r="M21" s="40"/>
      <c r="N21" s="40"/>
      <c r="O21" s="48"/>
      <c r="P21" s="40"/>
      <c r="Q21" s="22"/>
      <c r="R21" s="40"/>
      <c r="S21" s="40"/>
      <c r="T21" s="22" t="s">
        <v>619</v>
      </c>
      <c r="U21" s="40"/>
      <c r="V21" s="48"/>
      <c r="W21" s="40"/>
      <c r="X21" s="40"/>
      <c r="Y21" s="40"/>
      <c r="Z21" s="40"/>
      <c r="AA21" s="40"/>
      <c r="AB21" s="40"/>
      <c r="AC21" s="48"/>
      <c r="AD21" s="40"/>
      <c r="AE21" s="40"/>
      <c r="AF21" s="40"/>
      <c r="AG21" s="40"/>
      <c r="AH21" s="40"/>
      <c r="AI21" s="40"/>
      <c r="AJ21" s="48"/>
      <c r="AK21" s="156"/>
      <c r="AL21" s="61"/>
    </row>
    <row r="22" spans="1:38" s="11" customFormat="1" ht="14.25" customHeight="1">
      <c r="A22" s="230"/>
      <c r="B22" s="91"/>
      <c r="C22" s="22"/>
      <c r="D22" s="40"/>
      <c r="E22" s="40"/>
      <c r="F22" s="21"/>
      <c r="G22" s="22" t="s">
        <v>102</v>
      </c>
      <c r="H22" s="48"/>
      <c r="I22" s="40"/>
      <c r="J22" s="40"/>
      <c r="K22" s="22"/>
      <c r="L22" s="40"/>
      <c r="M22" s="40"/>
      <c r="N22" s="40"/>
      <c r="O22" s="48"/>
      <c r="P22" s="40"/>
      <c r="Q22" s="22"/>
      <c r="R22" s="40"/>
      <c r="S22" s="40"/>
      <c r="T22" s="22" t="s">
        <v>620</v>
      </c>
      <c r="U22" s="40"/>
      <c r="V22" s="48"/>
      <c r="W22" s="21"/>
      <c r="X22" s="40"/>
      <c r="Y22" s="40"/>
      <c r="Z22" s="40"/>
      <c r="AA22" s="40"/>
      <c r="AB22" s="40"/>
      <c r="AC22" s="48"/>
      <c r="AD22" s="40"/>
      <c r="AE22" s="40"/>
      <c r="AF22" s="40"/>
      <c r="AG22" s="50"/>
      <c r="AH22" s="40"/>
      <c r="AI22" s="40"/>
      <c r="AJ22" s="48"/>
      <c r="AK22" s="156"/>
      <c r="AL22" s="61"/>
    </row>
    <row r="23" spans="1:38" s="11" customFormat="1" ht="14.25" customHeight="1">
      <c r="A23" s="230"/>
      <c r="B23" s="91"/>
      <c r="C23" s="22"/>
      <c r="D23" s="40"/>
      <c r="E23" s="40"/>
      <c r="F23" s="21"/>
      <c r="G23" s="22" t="s">
        <v>105</v>
      </c>
      <c r="H23" s="48"/>
      <c r="I23" s="40"/>
      <c r="J23" s="40"/>
      <c r="K23" s="22"/>
      <c r="L23" s="40"/>
      <c r="M23" s="40"/>
      <c r="N23" s="40"/>
      <c r="O23" s="48"/>
      <c r="P23" s="40"/>
      <c r="Q23" s="22"/>
      <c r="R23" s="40"/>
      <c r="S23" s="40"/>
      <c r="T23" s="22" t="s">
        <v>621</v>
      </c>
      <c r="U23" s="40"/>
      <c r="V23" s="48"/>
      <c r="W23" s="21"/>
      <c r="X23" s="40"/>
      <c r="Y23" s="40"/>
      <c r="Z23" s="40"/>
      <c r="AA23" s="40"/>
      <c r="AB23" s="40"/>
      <c r="AC23" s="48"/>
      <c r="AD23" s="40"/>
      <c r="AE23" s="40"/>
      <c r="AF23" s="40"/>
      <c r="AG23" s="40"/>
      <c r="AH23" s="40"/>
      <c r="AI23" s="40"/>
      <c r="AJ23" s="48"/>
      <c r="AK23" s="156"/>
      <c r="AL23" s="61"/>
    </row>
    <row r="24" spans="1:38" s="11" customFormat="1" ht="14.25" customHeight="1">
      <c r="A24" s="230"/>
      <c r="B24" s="91"/>
      <c r="C24" s="22"/>
      <c r="D24" s="40"/>
      <c r="E24" s="40"/>
      <c r="F24" s="21"/>
      <c r="G24" s="54" t="s">
        <v>257</v>
      </c>
      <c r="H24" s="48"/>
      <c r="I24" s="40"/>
      <c r="J24" s="40"/>
      <c r="K24" s="22"/>
      <c r="L24" s="40"/>
      <c r="M24" s="40"/>
      <c r="N24" s="40"/>
      <c r="O24" s="48"/>
      <c r="P24" s="40"/>
      <c r="Q24" s="22"/>
      <c r="R24" s="40"/>
      <c r="S24" s="40"/>
      <c r="T24" s="99" t="s">
        <v>1034</v>
      </c>
      <c r="U24" s="40"/>
      <c r="V24" s="48"/>
      <c r="W24" s="40"/>
      <c r="X24" s="40"/>
      <c r="Y24" s="40"/>
      <c r="Z24" s="40"/>
      <c r="AA24" s="40"/>
      <c r="AB24" s="40"/>
      <c r="AC24" s="48"/>
      <c r="AD24" s="40"/>
      <c r="AE24" s="40"/>
      <c r="AF24" s="40"/>
      <c r="AG24" s="40"/>
      <c r="AH24" s="40"/>
      <c r="AI24" s="40"/>
      <c r="AJ24" s="48"/>
      <c r="AK24" s="156"/>
      <c r="AL24" s="61"/>
    </row>
    <row r="25" spans="1:38" s="11" customFormat="1" ht="14.25" customHeight="1">
      <c r="A25" s="230"/>
      <c r="B25" s="91"/>
      <c r="C25" s="22"/>
      <c r="D25" s="40"/>
      <c r="E25" s="40"/>
      <c r="F25" s="21"/>
      <c r="G25" s="22" t="s">
        <v>913</v>
      </c>
      <c r="H25" s="48"/>
      <c r="I25" s="40"/>
      <c r="J25" s="40"/>
      <c r="K25" s="22"/>
      <c r="L25" s="40"/>
      <c r="M25" s="40"/>
      <c r="N25" s="40"/>
      <c r="O25" s="48"/>
      <c r="P25" s="40"/>
      <c r="Q25" s="22"/>
      <c r="R25" s="40"/>
      <c r="S25" s="40"/>
      <c r="T25" s="22" t="s">
        <v>1031</v>
      </c>
      <c r="U25" s="40"/>
      <c r="V25" s="48"/>
      <c r="W25" s="40"/>
      <c r="X25" s="40"/>
      <c r="Y25" s="40"/>
      <c r="AA25" s="40"/>
      <c r="AB25" s="40"/>
      <c r="AC25" s="48"/>
      <c r="AD25" s="40"/>
      <c r="AE25" s="40"/>
      <c r="AF25" s="40"/>
      <c r="AG25" s="40"/>
      <c r="AH25" s="40"/>
      <c r="AI25" s="40"/>
      <c r="AJ25" s="48"/>
      <c r="AK25" s="156"/>
      <c r="AL25" s="61"/>
    </row>
    <row r="26" spans="1:38" s="11" customFormat="1" ht="14.25" customHeight="1">
      <c r="A26" s="230"/>
      <c r="B26" s="91"/>
      <c r="C26" s="22"/>
      <c r="D26" s="40"/>
      <c r="E26" s="40"/>
      <c r="F26" s="21"/>
      <c r="G26" s="22" t="s">
        <v>914</v>
      </c>
      <c r="H26" s="48"/>
      <c r="I26" s="40"/>
      <c r="J26" s="40"/>
      <c r="K26" s="22"/>
      <c r="L26" s="40"/>
      <c r="M26" s="40"/>
      <c r="N26" s="40"/>
      <c r="O26" s="48"/>
      <c r="P26" s="40"/>
      <c r="Q26" s="22"/>
      <c r="R26" s="40"/>
      <c r="S26" s="40"/>
      <c r="T26" s="22" t="s">
        <v>1030</v>
      </c>
      <c r="U26" s="40"/>
      <c r="V26" s="48"/>
      <c r="W26" s="40"/>
      <c r="X26" s="40"/>
      <c r="Y26" s="40"/>
      <c r="Z26" s="40"/>
      <c r="AA26" s="40"/>
      <c r="AB26" s="40"/>
      <c r="AC26" s="48"/>
      <c r="AD26" s="21"/>
      <c r="AE26" s="40"/>
      <c r="AF26" s="40"/>
      <c r="AG26" s="40"/>
      <c r="AH26" s="40"/>
      <c r="AI26" s="40"/>
      <c r="AJ26" s="48"/>
      <c r="AK26" s="156"/>
      <c r="AL26" s="61"/>
    </row>
    <row r="27" spans="1:38" s="11" customFormat="1" ht="14.25" customHeight="1">
      <c r="A27" s="230"/>
      <c r="B27" s="91"/>
      <c r="C27" s="22"/>
      <c r="D27" s="40"/>
      <c r="E27" s="40"/>
      <c r="F27" s="21"/>
      <c r="G27" s="22" t="s">
        <v>915</v>
      </c>
      <c r="H27" s="48"/>
      <c r="I27" s="40"/>
      <c r="J27" s="40"/>
      <c r="K27" s="22"/>
      <c r="L27" s="40"/>
      <c r="M27" s="40"/>
      <c r="N27" s="40"/>
      <c r="O27" s="48"/>
      <c r="P27" s="40"/>
      <c r="Q27" s="22"/>
      <c r="R27" s="40"/>
      <c r="S27" s="40"/>
      <c r="T27" s="22" t="s">
        <v>1032</v>
      </c>
      <c r="U27" s="40"/>
      <c r="V27" s="48"/>
      <c r="W27" s="40"/>
      <c r="X27" s="40"/>
      <c r="Y27" s="40"/>
      <c r="Z27" s="40"/>
      <c r="AA27" s="40"/>
      <c r="AB27" s="40"/>
      <c r="AC27" s="48"/>
      <c r="AD27" s="21"/>
      <c r="AE27" s="40"/>
      <c r="AF27" s="40"/>
      <c r="AG27" s="40"/>
      <c r="AH27" s="40"/>
      <c r="AI27" s="40"/>
      <c r="AJ27" s="48"/>
      <c r="AK27" s="156"/>
      <c r="AL27" s="61"/>
    </row>
    <row r="28" spans="1:38" s="11" customFormat="1" ht="14.25" customHeight="1">
      <c r="A28" s="230"/>
      <c r="B28" s="91"/>
      <c r="C28" s="22"/>
      <c r="D28" s="40"/>
      <c r="E28" s="40"/>
      <c r="F28" s="21"/>
      <c r="G28" s="22" t="s">
        <v>910</v>
      </c>
      <c r="H28" s="48"/>
      <c r="I28" s="40"/>
      <c r="J28" s="40"/>
      <c r="K28" s="22"/>
      <c r="L28" s="40"/>
      <c r="M28" s="40"/>
      <c r="N28" s="40"/>
      <c r="O28" s="48"/>
      <c r="P28" s="40"/>
      <c r="Q28" s="22"/>
      <c r="R28" s="40"/>
      <c r="S28" s="40"/>
      <c r="T28" s="22" t="s">
        <v>1033</v>
      </c>
      <c r="U28" s="40"/>
      <c r="V28" s="48"/>
      <c r="W28" s="40"/>
      <c r="X28" s="40"/>
      <c r="Y28" s="40"/>
      <c r="Z28" s="40"/>
      <c r="AA28" s="40"/>
      <c r="AB28" s="40"/>
      <c r="AC28" s="48"/>
      <c r="AD28" s="21"/>
      <c r="AE28" s="40"/>
      <c r="AF28" s="40"/>
      <c r="AG28" s="40"/>
      <c r="AH28" s="40"/>
      <c r="AI28" s="40"/>
      <c r="AJ28" s="48"/>
      <c r="AK28" s="156"/>
      <c r="AL28" s="61"/>
    </row>
    <row r="29" spans="1:38" s="11" customFormat="1" ht="14.25" customHeight="1">
      <c r="A29" s="230"/>
      <c r="B29" s="91"/>
      <c r="C29" s="22"/>
      <c r="D29" s="40"/>
      <c r="E29" s="40"/>
      <c r="F29" s="21"/>
      <c r="G29" s="22" t="s">
        <v>911</v>
      </c>
      <c r="H29" s="98"/>
      <c r="I29" s="40"/>
      <c r="J29" s="40"/>
      <c r="K29" s="22"/>
      <c r="L29" s="40"/>
      <c r="M29" s="40"/>
      <c r="N29" s="40"/>
      <c r="O29" s="48"/>
      <c r="P29" s="40"/>
      <c r="Q29" s="22"/>
      <c r="R29" s="40"/>
      <c r="S29" s="40"/>
      <c r="T29" s="22"/>
      <c r="U29" s="40"/>
      <c r="V29" s="48"/>
      <c r="W29" s="40"/>
      <c r="X29" s="40"/>
      <c r="Y29" s="40"/>
      <c r="Z29" s="40"/>
      <c r="AA29" s="40"/>
      <c r="AB29" s="40"/>
      <c r="AC29" s="48"/>
      <c r="AD29" s="21"/>
      <c r="AE29" s="40"/>
      <c r="AF29" s="40"/>
      <c r="AG29" s="40"/>
      <c r="AH29" s="40"/>
      <c r="AI29" s="40"/>
      <c r="AJ29" s="48"/>
      <c r="AK29" s="156"/>
      <c r="AL29" s="61"/>
    </row>
    <row r="30" spans="1:38" s="11" customFormat="1" ht="14.25" customHeight="1">
      <c r="A30" s="230"/>
      <c r="B30" s="91"/>
      <c r="C30" s="22"/>
      <c r="D30" s="40"/>
      <c r="E30" s="40"/>
      <c r="F30" s="21"/>
      <c r="G30" s="22" t="s">
        <v>912</v>
      </c>
      <c r="H30" s="98"/>
      <c r="I30" s="40"/>
      <c r="J30" s="40"/>
      <c r="K30" s="22"/>
      <c r="L30" s="40"/>
      <c r="M30" s="40"/>
      <c r="N30" s="40"/>
      <c r="O30" s="48"/>
      <c r="P30" s="40"/>
      <c r="Q30" s="22"/>
      <c r="R30" s="40"/>
      <c r="S30" s="40"/>
      <c r="T30" s="22"/>
      <c r="U30" s="40"/>
      <c r="V30" s="48"/>
      <c r="W30" s="40"/>
      <c r="X30" s="40"/>
      <c r="Y30" s="40"/>
      <c r="Z30" s="40"/>
      <c r="AA30" s="40"/>
      <c r="AB30" s="40"/>
      <c r="AC30" s="48"/>
      <c r="AD30" s="21"/>
      <c r="AE30" s="40"/>
      <c r="AF30" s="40"/>
      <c r="AG30" s="40"/>
      <c r="AH30" s="40"/>
      <c r="AI30" s="40"/>
      <c r="AJ30" s="48"/>
      <c r="AK30" s="156"/>
      <c r="AL30" s="61"/>
    </row>
    <row r="31" spans="1:38" s="11" customFormat="1" ht="14.25" customHeight="1">
      <c r="A31" s="230"/>
      <c r="B31" s="91"/>
      <c r="C31" s="22"/>
      <c r="D31" s="40"/>
      <c r="E31" s="40"/>
      <c r="F31" s="21"/>
      <c r="G31" s="22" t="s">
        <v>717</v>
      </c>
      <c r="H31" s="98"/>
      <c r="I31" s="40"/>
      <c r="J31" s="40"/>
      <c r="K31" s="22"/>
      <c r="L31" s="40"/>
      <c r="M31" s="40"/>
      <c r="N31" s="40"/>
      <c r="O31" s="48"/>
      <c r="P31" s="40"/>
      <c r="Q31" s="22"/>
      <c r="R31" s="40"/>
      <c r="S31" s="40"/>
      <c r="T31" s="22"/>
      <c r="U31" s="40"/>
      <c r="V31" s="48"/>
      <c r="W31" s="40"/>
      <c r="X31" s="40"/>
      <c r="Y31" s="40"/>
      <c r="Z31" s="40"/>
      <c r="AA31" s="40"/>
      <c r="AB31" s="40"/>
      <c r="AC31" s="48"/>
      <c r="AD31" s="21"/>
      <c r="AE31" s="40"/>
      <c r="AF31" s="40"/>
      <c r="AG31" s="40"/>
      <c r="AH31" s="40"/>
      <c r="AI31" s="40"/>
      <c r="AJ31" s="48"/>
      <c r="AK31" s="156"/>
      <c r="AL31" s="61"/>
    </row>
    <row r="32" spans="1:38" s="11" customFormat="1" ht="14.25" customHeight="1">
      <c r="A32" s="230"/>
      <c r="B32" s="91"/>
      <c r="C32" s="22"/>
      <c r="D32" s="40"/>
      <c r="E32" s="40"/>
      <c r="F32" s="21"/>
      <c r="G32" s="22" t="s">
        <v>995</v>
      </c>
      <c r="H32" s="98"/>
      <c r="I32" s="40"/>
      <c r="J32" s="40"/>
      <c r="K32" s="22"/>
      <c r="L32" s="40"/>
      <c r="M32" s="40"/>
      <c r="N32" s="40"/>
      <c r="O32" s="48"/>
      <c r="P32" s="40"/>
      <c r="Q32" s="22"/>
      <c r="R32" s="40"/>
      <c r="S32" s="40"/>
      <c r="T32" s="22"/>
      <c r="U32" s="40"/>
      <c r="V32" s="48"/>
      <c r="W32" s="40"/>
      <c r="X32" s="40"/>
      <c r="Y32" s="40"/>
      <c r="Z32" s="40"/>
      <c r="AA32" s="40"/>
      <c r="AB32" s="40"/>
      <c r="AC32" s="48"/>
      <c r="AD32" s="21"/>
      <c r="AE32" s="40"/>
      <c r="AF32" s="40"/>
      <c r="AG32" s="40"/>
      <c r="AH32" s="40"/>
      <c r="AI32" s="40"/>
      <c r="AJ32" s="48"/>
      <c r="AK32" s="156"/>
      <c r="AL32" s="61"/>
    </row>
    <row r="33" spans="1:41" s="11" customFormat="1" ht="17.25" customHeight="1">
      <c r="A33" s="235"/>
      <c r="B33" s="24"/>
      <c r="C33" s="56"/>
      <c r="D33" s="24"/>
      <c r="E33" s="56"/>
      <c r="F33" s="24"/>
      <c r="G33" s="233">
        <f>923+775+534+345+482+1389+1441+300+300+51+2+56+36+148+121+24+152+138+46+25+63+36+99+2+118</f>
        <v>7606</v>
      </c>
      <c r="H33" s="23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>
        <v>5158</v>
      </c>
      <c r="U33" s="24"/>
      <c r="V33" s="24"/>
      <c r="W33" s="24"/>
      <c r="X33" s="24"/>
      <c r="Y33" s="24"/>
      <c r="Z33" s="24"/>
      <c r="AA33" s="24"/>
      <c r="AB33" s="24"/>
      <c r="AC33" s="24"/>
      <c r="AD33" s="24">
        <f>460+363+651+386+472</f>
        <v>2332</v>
      </c>
      <c r="AE33" s="24"/>
      <c r="AF33" s="24"/>
      <c r="AG33" s="24"/>
      <c r="AH33" s="24"/>
      <c r="AI33" s="24"/>
      <c r="AJ33" s="24"/>
      <c r="AK33" s="24"/>
      <c r="AL33" s="64"/>
    </row>
    <row r="34" spans="1:41" s="11" customFormat="1" ht="2.25" customHeight="1">
      <c r="A34" s="26"/>
      <c r="B34" s="27"/>
      <c r="C34" s="27"/>
      <c r="D34" s="27"/>
      <c r="E34" s="28"/>
      <c r="F34" s="27"/>
      <c r="G34" s="27"/>
      <c r="H34" s="27"/>
      <c r="I34" s="27"/>
      <c r="J34" s="44"/>
      <c r="K34" s="44"/>
      <c r="L34" s="44"/>
      <c r="M34" s="44"/>
      <c r="N34" s="44"/>
      <c r="O34" s="27"/>
      <c r="P34" s="27"/>
      <c r="Q34" s="44"/>
      <c r="R34" s="44"/>
      <c r="S34" s="44"/>
      <c r="T34" s="44"/>
      <c r="U34" s="44"/>
      <c r="V34" s="27"/>
      <c r="W34" s="27"/>
      <c r="X34" s="44"/>
      <c r="Y34" s="44"/>
      <c r="Z34" s="44"/>
      <c r="AA34" s="44"/>
      <c r="AB34" s="44"/>
      <c r="AC34" s="27"/>
      <c r="AD34" s="27"/>
      <c r="AE34" s="44"/>
      <c r="AF34" s="44"/>
      <c r="AG34" s="44"/>
      <c r="AH34" s="44"/>
      <c r="AI34" s="44"/>
      <c r="AJ34" s="44"/>
      <c r="AK34" s="44"/>
      <c r="AL34" s="30"/>
    </row>
    <row r="35" spans="1:41" s="11" customFormat="1" ht="19.5" customHeight="1">
      <c r="A35" s="12" t="s">
        <v>0</v>
      </c>
      <c r="B35" s="16"/>
      <c r="C35" s="16"/>
      <c r="D35" s="16"/>
      <c r="E35" s="16"/>
      <c r="F35" s="16"/>
      <c r="G35" s="16">
        <v>1160</v>
      </c>
      <c r="H35" s="25"/>
      <c r="I35" s="16">
        <v>1160</v>
      </c>
      <c r="J35" s="68">
        <v>1360</v>
      </c>
      <c r="K35" s="16">
        <v>1600</v>
      </c>
      <c r="L35" s="68">
        <v>1440</v>
      </c>
      <c r="M35" s="16">
        <v>1600</v>
      </c>
      <c r="N35" s="68">
        <v>990</v>
      </c>
      <c r="O35" s="25"/>
      <c r="P35" s="16">
        <v>1160</v>
      </c>
      <c r="Q35" s="16">
        <v>1380</v>
      </c>
      <c r="R35" s="16">
        <v>1600</v>
      </c>
      <c r="S35" s="16">
        <v>1380</v>
      </c>
      <c r="T35" s="51">
        <v>1600</v>
      </c>
      <c r="U35" s="68">
        <v>1240</v>
      </c>
      <c r="V35" s="25"/>
      <c r="W35" s="16">
        <v>1380</v>
      </c>
      <c r="X35" s="51">
        <v>1160</v>
      </c>
      <c r="Y35" s="16">
        <v>1160</v>
      </c>
      <c r="Z35" s="16">
        <v>1160</v>
      </c>
      <c r="AA35" s="16">
        <v>1160</v>
      </c>
      <c r="AB35" s="16">
        <v>1160</v>
      </c>
      <c r="AC35" s="25"/>
      <c r="AD35" s="16">
        <v>1160</v>
      </c>
      <c r="AE35" s="16">
        <v>1160</v>
      </c>
      <c r="AF35" s="16">
        <v>1160</v>
      </c>
      <c r="AG35" s="51">
        <v>1160</v>
      </c>
      <c r="AH35" s="51"/>
      <c r="AI35" s="51"/>
      <c r="AJ35" s="25"/>
      <c r="AK35" s="51"/>
      <c r="AL35" s="60"/>
      <c r="AM35" s="17">
        <f>+SUM(B35:AL35)</f>
        <v>29490</v>
      </c>
    </row>
    <row r="36" spans="1:41" s="17" customFormat="1" ht="19.5" customHeight="1">
      <c r="A36" s="12" t="s">
        <v>18</v>
      </c>
      <c r="B36" s="122">
        <v>11</v>
      </c>
      <c r="C36" s="122">
        <v>11</v>
      </c>
      <c r="D36" s="122">
        <v>11</v>
      </c>
      <c r="E36" s="122">
        <v>11</v>
      </c>
      <c r="F36" s="122">
        <v>8</v>
      </c>
      <c r="G36" s="122">
        <v>8</v>
      </c>
      <c r="H36" s="25"/>
      <c r="I36" s="18">
        <v>11</v>
      </c>
      <c r="J36" s="18">
        <v>11</v>
      </c>
      <c r="K36" s="18">
        <v>11</v>
      </c>
      <c r="L36" s="18">
        <v>11</v>
      </c>
      <c r="M36" s="18">
        <v>8</v>
      </c>
      <c r="N36" s="18">
        <v>8</v>
      </c>
      <c r="O36" s="25"/>
      <c r="P36" s="18">
        <v>9.5</v>
      </c>
      <c r="Q36" s="18">
        <v>11</v>
      </c>
      <c r="R36" s="18">
        <v>9.5</v>
      </c>
      <c r="S36" s="18">
        <v>11</v>
      </c>
      <c r="T36" s="18">
        <v>9.5</v>
      </c>
      <c r="U36" s="18">
        <v>9.5</v>
      </c>
      <c r="V36" s="25"/>
      <c r="W36" s="18">
        <v>8</v>
      </c>
      <c r="X36" s="18">
        <v>8</v>
      </c>
      <c r="Y36" s="18">
        <v>8</v>
      </c>
      <c r="Z36" s="18">
        <v>8</v>
      </c>
      <c r="AA36" s="18">
        <v>8</v>
      </c>
      <c r="AB36" s="18">
        <v>8</v>
      </c>
      <c r="AC36" s="25"/>
      <c r="AD36" s="18">
        <v>8</v>
      </c>
      <c r="AE36" s="18">
        <v>8</v>
      </c>
      <c r="AF36" s="18">
        <v>8</v>
      </c>
      <c r="AG36" s="18">
        <v>8</v>
      </c>
      <c r="AH36" s="18"/>
      <c r="AI36" s="18"/>
      <c r="AJ36" s="25"/>
      <c r="AK36" s="18"/>
      <c r="AL36" s="130"/>
    </row>
    <row r="37" spans="1:41" s="17" customFormat="1" ht="17.25" customHeight="1">
      <c r="A37" s="2" t="s">
        <v>19</v>
      </c>
      <c r="B37" s="41"/>
      <c r="C37" s="41"/>
      <c r="D37" s="41"/>
      <c r="E37" s="41"/>
      <c r="F37" s="41"/>
      <c r="G37" s="41" t="s">
        <v>345</v>
      </c>
      <c r="H37" s="25"/>
      <c r="I37" s="41"/>
      <c r="J37" s="41" t="s">
        <v>345</v>
      </c>
      <c r="K37" s="41"/>
      <c r="L37" s="41" t="s">
        <v>345</v>
      </c>
      <c r="M37" s="41"/>
      <c r="N37" s="41" t="s">
        <v>345</v>
      </c>
      <c r="O37" s="25"/>
      <c r="P37" s="41"/>
      <c r="Q37" s="41"/>
      <c r="R37" s="41"/>
      <c r="S37" s="41"/>
      <c r="T37" s="41"/>
      <c r="U37" s="41" t="s">
        <v>345</v>
      </c>
      <c r="V37" s="25"/>
      <c r="W37" s="41"/>
      <c r="X37" s="41"/>
      <c r="Y37" s="41"/>
      <c r="Z37" s="41"/>
      <c r="AA37" s="41"/>
      <c r="AB37" s="41"/>
      <c r="AC37" s="25"/>
      <c r="AD37" s="41"/>
      <c r="AE37" s="41"/>
      <c r="AF37" s="41"/>
      <c r="AG37" s="41"/>
      <c r="AH37" s="41"/>
      <c r="AI37" s="41"/>
      <c r="AJ37" s="25"/>
      <c r="AK37" s="41"/>
      <c r="AL37" s="60"/>
    </row>
    <row r="38" spans="1:41" s="17" customFormat="1" ht="17.25" customHeight="1">
      <c r="A38" s="2" t="s">
        <v>20</v>
      </c>
      <c r="B38" s="20"/>
      <c r="C38" s="20"/>
      <c r="D38" s="20"/>
      <c r="E38" s="20"/>
      <c r="F38" s="20"/>
      <c r="G38" s="20"/>
      <c r="H38" s="25"/>
      <c r="I38" s="20"/>
      <c r="J38" s="20">
        <v>0.85</v>
      </c>
      <c r="K38" s="20"/>
      <c r="L38" s="20">
        <v>0.9</v>
      </c>
      <c r="M38" s="20"/>
      <c r="N38" s="20">
        <v>0.85</v>
      </c>
      <c r="O38" s="25"/>
      <c r="P38" s="20"/>
      <c r="Q38" s="20"/>
      <c r="R38" s="20"/>
      <c r="S38" s="20"/>
      <c r="T38" s="20"/>
      <c r="U38" s="20">
        <v>0.9</v>
      </c>
      <c r="V38" s="25"/>
      <c r="W38" s="20"/>
      <c r="X38" s="20"/>
      <c r="Y38" s="20"/>
      <c r="Z38" s="20"/>
      <c r="AA38" s="20"/>
      <c r="AB38" s="20"/>
      <c r="AC38" s="25"/>
      <c r="AD38" s="20"/>
      <c r="AE38" s="20"/>
      <c r="AF38" s="20"/>
      <c r="AG38" s="20"/>
      <c r="AH38" s="20"/>
      <c r="AI38" s="20"/>
      <c r="AJ38" s="25"/>
      <c r="AK38" s="20"/>
      <c r="AL38" s="60"/>
    </row>
    <row r="39" spans="1:41" s="11" customFormat="1" ht="15" customHeight="1">
      <c r="A39" s="229" t="s">
        <v>9</v>
      </c>
      <c r="B39" s="46"/>
      <c r="C39" s="49"/>
      <c r="D39" s="40"/>
      <c r="E39" s="47"/>
      <c r="F39" s="50" t="s">
        <v>741</v>
      </c>
      <c r="H39" s="48"/>
      <c r="I39" s="40"/>
      <c r="J39" s="40"/>
      <c r="K39" s="40"/>
      <c r="L39" s="40"/>
      <c r="M39" s="50" t="s">
        <v>741</v>
      </c>
      <c r="N39" s="40"/>
      <c r="O39" s="48"/>
      <c r="P39" s="40"/>
      <c r="Q39" s="50"/>
      <c r="R39" s="40"/>
      <c r="S39" s="40"/>
      <c r="T39" s="40"/>
      <c r="U39" s="50" t="s">
        <v>741</v>
      </c>
      <c r="V39" s="48"/>
      <c r="W39" s="40"/>
      <c r="X39" s="40"/>
      <c r="Y39" s="40"/>
      <c r="Z39" s="40"/>
      <c r="AA39" s="40"/>
      <c r="AB39" s="40"/>
      <c r="AC39" s="48"/>
      <c r="AD39" s="50" t="s">
        <v>1197</v>
      </c>
      <c r="AE39" s="50"/>
      <c r="AF39" s="40"/>
      <c r="AG39" s="40"/>
      <c r="AH39" s="40"/>
      <c r="AI39" s="47"/>
      <c r="AJ39" s="48"/>
      <c r="AK39" s="62"/>
      <c r="AL39" s="61"/>
      <c r="AM39" s="17"/>
      <c r="AO39" s="50"/>
    </row>
    <row r="40" spans="1:41" s="11" customFormat="1" ht="15" customHeight="1">
      <c r="A40" s="230"/>
      <c r="B40" s="22"/>
      <c r="C40" s="22"/>
      <c r="D40" s="40"/>
      <c r="E40" s="21"/>
      <c r="F40" s="100" t="s">
        <v>1373</v>
      </c>
      <c r="G40" s="40"/>
      <c r="H40" s="48"/>
      <c r="I40" s="40"/>
      <c r="J40" s="40"/>
      <c r="K40" s="40"/>
      <c r="L40" s="40"/>
      <c r="M40" s="22" t="s">
        <v>1271</v>
      </c>
      <c r="N40" s="40"/>
      <c r="O40" s="48"/>
      <c r="P40" s="40"/>
      <c r="Q40" s="22"/>
      <c r="R40" s="40"/>
      <c r="S40" s="40"/>
      <c r="T40" s="40"/>
      <c r="U40" s="171" t="s">
        <v>1349</v>
      </c>
      <c r="V40" s="48"/>
      <c r="W40" s="40"/>
      <c r="X40" s="40"/>
      <c r="Y40" s="40"/>
      <c r="Z40" s="40"/>
      <c r="AA40" s="40"/>
      <c r="AB40" s="40"/>
      <c r="AC40" s="48"/>
      <c r="AD40" s="22" t="s">
        <v>774</v>
      </c>
      <c r="AE40" s="40"/>
      <c r="AF40" s="40"/>
      <c r="AG40" s="40"/>
      <c r="AH40" s="40"/>
      <c r="AI40" s="21"/>
      <c r="AJ40" s="48"/>
      <c r="AK40" s="58"/>
      <c r="AL40" s="61"/>
      <c r="AM40" s="17"/>
      <c r="AO40" s="171"/>
    </row>
    <row r="41" spans="1:41" s="11" customFormat="1" ht="15" customHeight="1">
      <c r="A41" s="230"/>
      <c r="B41" s="22"/>
      <c r="C41" s="22"/>
      <c r="D41" s="40"/>
      <c r="E41" s="21"/>
      <c r="F41" s="224" t="s">
        <v>1372</v>
      </c>
      <c r="G41" s="40"/>
      <c r="H41" s="48"/>
      <c r="I41" s="40"/>
      <c r="J41" s="40"/>
      <c r="K41" s="40"/>
      <c r="L41" s="40"/>
      <c r="M41" s="22" t="s">
        <v>1272</v>
      </c>
      <c r="N41" s="40"/>
      <c r="O41" s="48"/>
      <c r="P41" s="40"/>
      <c r="Q41" s="22"/>
      <c r="S41" s="40"/>
      <c r="T41" s="40"/>
      <c r="U41" s="171" t="s">
        <v>1350</v>
      </c>
      <c r="V41" s="48"/>
      <c r="W41" s="40"/>
      <c r="X41" s="40"/>
      <c r="Y41" s="40"/>
      <c r="Z41" s="40"/>
      <c r="AA41" s="40"/>
      <c r="AB41" s="40"/>
      <c r="AC41" s="48"/>
      <c r="AD41" s="22" t="s">
        <v>769</v>
      </c>
      <c r="AE41" s="40"/>
      <c r="AF41" s="40"/>
      <c r="AG41" s="40"/>
      <c r="AH41" s="40"/>
      <c r="AI41" s="21"/>
      <c r="AJ41" s="48"/>
      <c r="AK41" s="58"/>
      <c r="AL41" s="61"/>
      <c r="AM41" s="17"/>
      <c r="AO41" s="164"/>
    </row>
    <row r="42" spans="1:41" s="11" customFormat="1" ht="15" customHeight="1">
      <c r="A42" s="230"/>
      <c r="B42" s="22"/>
      <c r="C42" s="55"/>
      <c r="D42" s="40"/>
      <c r="E42" s="21"/>
      <c r="F42" s="171" t="s">
        <v>1371</v>
      </c>
      <c r="G42" s="40"/>
      <c r="H42" s="48"/>
      <c r="I42" s="40"/>
      <c r="J42" s="40"/>
      <c r="K42" s="40"/>
      <c r="L42" s="40"/>
      <c r="M42" s="22" t="s">
        <v>746</v>
      </c>
      <c r="N42" s="40"/>
      <c r="O42" s="48"/>
      <c r="P42" s="40"/>
      <c r="Q42" s="40"/>
      <c r="R42" s="40"/>
      <c r="S42" s="40"/>
      <c r="T42" s="40"/>
      <c r="U42" s="163" t="s">
        <v>1351</v>
      </c>
      <c r="V42" s="48"/>
      <c r="W42" s="40"/>
      <c r="X42" s="40"/>
      <c r="Y42" s="40"/>
      <c r="Z42" s="40"/>
      <c r="AA42" s="40"/>
      <c r="AB42" s="40"/>
      <c r="AC42" s="48"/>
      <c r="AD42" s="22" t="s">
        <v>770</v>
      </c>
      <c r="AE42" s="40"/>
      <c r="AF42" s="40"/>
      <c r="AG42" s="40"/>
      <c r="AH42" s="40"/>
      <c r="AI42" s="21"/>
      <c r="AJ42" s="48"/>
      <c r="AK42" s="58"/>
      <c r="AL42" s="61"/>
      <c r="AM42" s="17"/>
    </row>
    <row r="43" spans="1:41" s="11" customFormat="1" ht="15" customHeight="1">
      <c r="A43" s="230"/>
      <c r="B43" s="22"/>
      <c r="C43" s="40"/>
      <c r="D43" s="40"/>
      <c r="E43" s="40"/>
      <c r="F43" s="171" t="s">
        <v>1370</v>
      </c>
      <c r="G43" s="40"/>
      <c r="H43" s="48"/>
      <c r="I43" s="40"/>
      <c r="J43" s="40"/>
      <c r="K43" s="40"/>
      <c r="L43" s="40"/>
      <c r="M43" s="22" t="s">
        <v>742</v>
      </c>
      <c r="N43" s="40"/>
      <c r="O43" s="48"/>
      <c r="P43" s="40"/>
      <c r="Q43" s="40"/>
      <c r="R43" s="40"/>
      <c r="S43" s="40"/>
      <c r="T43" s="40"/>
      <c r="U43" s="171" t="s">
        <v>1352</v>
      </c>
      <c r="V43" s="48"/>
      <c r="W43" s="40"/>
      <c r="X43" s="40"/>
      <c r="Y43" s="40"/>
      <c r="Z43" s="40"/>
      <c r="AA43" s="40"/>
      <c r="AB43" s="40"/>
      <c r="AC43" s="48"/>
      <c r="AD43" s="22" t="s">
        <v>771</v>
      </c>
      <c r="AE43" s="40"/>
      <c r="AF43" s="40"/>
      <c r="AG43" s="40"/>
      <c r="AH43" s="40"/>
      <c r="AI43" s="21"/>
      <c r="AJ43" s="48"/>
      <c r="AK43" s="58"/>
      <c r="AL43" s="61"/>
      <c r="AM43" s="17"/>
    </row>
    <row r="44" spans="1:41" s="11" customFormat="1" ht="15" customHeight="1">
      <c r="A44" s="230"/>
      <c r="B44" s="22"/>
      <c r="C44" s="40"/>
      <c r="D44" s="40"/>
      <c r="E44" s="40"/>
      <c r="F44" s="171" t="s">
        <v>1369</v>
      </c>
      <c r="G44" s="40"/>
      <c r="H44" s="48"/>
      <c r="I44" s="40"/>
      <c r="J44" s="40"/>
      <c r="K44" s="40"/>
      <c r="L44" s="40"/>
      <c r="M44" s="22" t="s">
        <v>743</v>
      </c>
      <c r="N44" s="40"/>
      <c r="O44" s="48"/>
      <c r="P44" s="40"/>
      <c r="Q44" s="40"/>
      <c r="R44" s="40"/>
      <c r="S44" s="40"/>
      <c r="T44" s="40"/>
      <c r="U44" s="22" t="s">
        <v>777</v>
      </c>
      <c r="V44" s="48"/>
      <c r="W44" s="40"/>
      <c r="X44" s="40"/>
      <c r="Y44" s="40"/>
      <c r="Z44" s="40"/>
      <c r="AA44" s="40"/>
      <c r="AB44" s="40"/>
      <c r="AC44" s="48"/>
      <c r="AD44" s="22" t="s">
        <v>772</v>
      </c>
      <c r="AE44" s="40"/>
      <c r="AF44" s="40"/>
      <c r="AG44" s="40"/>
      <c r="AH44" s="40"/>
      <c r="AI44" s="21"/>
      <c r="AJ44" s="48"/>
      <c r="AK44" s="58"/>
      <c r="AL44" s="61"/>
      <c r="AM44" s="17"/>
    </row>
    <row r="45" spans="1:41" s="11" customFormat="1" ht="15" customHeight="1">
      <c r="A45" s="230"/>
      <c r="B45" s="22"/>
      <c r="C45" s="40"/>
      <c r="D45" s="40"/>
      <c r="E45" s="40"/>
      <c r="F45" s="171" t="s">
        <v>1368</v>
      </c>
      <c r="G45" s="40"/>
      <c r="H45" s="48"/>
      <c r="I45" s="40"/>
      <c r="J45" s="40"/>
      <c r="K45" s="40"/>
      <c r="L45" s="40"/>
      <c r="M45" s="50" t="s">
        <v>747</v>
      </c>
      <c r="N45" s="40"/>
      <c r="O45" s="48"/>
      <c r="P45" s="40"/>
      <c r="Q45" s="40"/>
      <c r="R45" s="40"/>
      <c r="S45" s="40"/>
      <c r="T45" s="40"/>
      <c r="U45" s="22" t="s">
        <v>781</v>
      </c>
      <c r="V45" s="48"/>
      <c r="W45" s="40"/>
      <c r="X45" s="40"/>
      <c r="Y45" s="40"/>
      <c r="Z45" s="40"/>
      <c r="AA45" s="40"/>
      <c r="AB45" s="40"/>
      <c r="AC45" s="48"/>
      <c r="AD45" s="22" t="s">
        <v>773</v>
      </c>
      <c r="AE45" s="40"/>
      <c r="AF45" s="40"/>
      <c r="AG45" s="40"/>
      <c r="AH45" s="40"/>
      <c r="AI45" s="21"/>
      <c r="AJ45" s="48"/>
      <c r="AL45" s="61"/>
      <c r="AM45" s="17"/>
    </row>
    <row r="46" spans="1:41" s="11" customFormat="1" ht="15" customHeight="1">
      <c r="A46" s="230"/>
      <c r="B46" s="22"/>
      <c r="C46" s="22"/>
      <c r="D46" s="40"/>
      <c r="E46" s="40"/>
      <c r="F46" s="50" t="s">
        <v>747</v>
      </c>
      <c r="G46" s="40"/>
      <c r="H46" s="48"/>
      <c r="I46" s="40"/>
      <c r="J46" s="40"/>
      <c r="K46" s="40"/>
      <c r="L46" s="40"/>
      <c r="M46" s="22" t="s">
        <v>762</v>
      </c>
      <c r="N46" s="40"/>
      <c r="O46" s="48"/>
      <c r="P46" s="40"/>
      <c r="Q46" s="40"/>
      <c r="R46" s="40"/>
      <c r="S46" s="40"/>
      <c r="T46" s="40"/>
      <c r="U46" s="22" t="s">
        <v>780</v>
      </c>
      <c r="V46" s="48"/>
      <c r="W46" s="40"/>
      <c r="X46" s="40"/>
      <c r="Y46" s="40"/>
      <c r="Z46" s="40"/>
      <c r="AA46" s="40"/>
      <c r="AB46" s="40"/>
      <c r="AC46" s="48"/>
      <c r="AD46" s="40"/>
      <c r="AE46" s="40"/>
      <c r="AF46" s="40"/>
      <c r="AG46" s="40"/>
      <c r="AH46" s="40"/>
      <c r="AI46" s="21"/>
      <c r="AJ46" s="48"/>
      <c r="AK46" s="58"/>
      <c r="AL46" s="61"/>
      <c r="AM46" s="17"/>
    </row>
    <row r="47" spans="1:41" s="11" customFormat="1" ht="15" customHeight="1">
      <c r="A47" s="230"/>
      <c r="B47" s="22"/>
      <c r="C47" s="22"/>
      <c r="D47" s="203"/>
      <c r="E47" s="40"/>
      <c r="F47" s="171" t="s">
        <v>1367</v>
      </c>
      <c r="G47" s="40"/>
      <c r="H47" s="48"/>
      <c r="I47" s="40"/>
      <c r="J47" s="40"/>
      <c r="K47" s="40"/>
      <c r="L47" s="40"/>
      <c r="M47" s="166" t="s">
        <v>1378</v>
      </c>
      <c r="N47" s="40"/>
      <c r="O47" s="48"/>
      <c r="P47" s="40"/>
      <c r="Q47" s="40"/>
      <c r="R47" s="40"/>
      <c r="S47" s="40"/>
      <c r="T47" s="40"/>
      <c r="U47" s="22" t="s">
        <v>775</v>
      </c>
      <c r="V47" s="48"/>
      <c r="W47" s="40"/>
      <c r="X47" s="40"/>
      <c r="Y47" s="40"/>
      <c r="Z47" s="40"/>
      <c r="AA47" s="40"/>
      <c r="AB47" s="40"/>
      <c r="AC47" s="48"/>
      <c r="AD47" s="40"/>
      <c r="AE47" s="40"/>
      <c r="AF47" s="40"/>
      <c r="AG47" s="40"/>
      <c r="AH47" s="40"/>
      <c r="AI47" s="21"/>
      <c r="AJ47" s="231">
        <f>+SUM(B57:AL57)</f>
        <v>28320</v>
      </c>
      <c r="AK47" s="232"/>
      <c r="AL47" s="23" t="s">
        <v>1</v>
      </c>
      <c r="AM47" s="17"/>
    </row>
    <row r="48" spans="1:41" s="11" customFormat="1" ht="15" customHeight="1">
      <c r="A48" s="230"/>
      <c r="B48" s="22"/>
      <c r="C48" s="40"/>
      <c r="D48" s="40"/>
      <c r="E48" s="40"/>
      <c r="F48" s="171" t="s">
        <v>1366</v>
      </c>
      <c r="G48" s="40"/>
      <c r="H48" s="48"/>
      <c r="I48" s="40"/>
      <c r="J48" s="40"/>
      <c r="K48" s="40"/>
      <c r="L48" s="40"/>
      <c r="M48" s="50" t="s">
        <v>752</v>
      </c>
      <c r="N48" s="40"/>
      <c r="O48" s="48"/>
      <c r="P48" s="40"/>
      <c r="Q48" s="40"/>
      <c r="R48" s="40"/>
      <c r="S48" s="40"/>
      <c r="T48" s="40"/>
      <c r="U48" s="22" t="s">
        <v>776</v>
      </c>
      <c r="V48" s="48"/>
      <c r="W48" s="40"/>
      <c r="X48" s="40"/>
      <c r="Y48" s="40"/>
      <c r="Z48" s="40"/>
      <c r="AA48" s="40"/>
      <c r="AB48" s="40"/>
      <c r="AC48" s="48"/>
      <c r="AE48" s="40"/>
      <c r="AF48" s="40"/>
      <c r="AG48" s="40"/>
      <c r="AH48" s="22"/>
      <c r="AI48" s="21"/>
      <c r="AJ48" s="48"/>
      <c r="AK48" s="58"/>
      <c r="AL48" s="61"/>
      <c r="AM48" s="17"/>
    </row>
    <row r="49" spans="1:39" s="11" customFormat="1" ht="15" customHeight="1">
      <c r="A49" s="230"/>
      <c r="B49" s="91"/>
      <c r="C49" s="40"/>
      <c r="D49" s="50"/>
      <c r="E49" s="40"/>
      <c r="F49" s="50" t="s">
        <v>752</v>
      </c>
      <c r="G49" s="40"/>
      <c r="H49" s="48"/>
      <c r="I49" s="40"/>
      <c r="J49" s="40"/>
      <c r="K49" s="40"/>
      <c r="L49" s="40"/>
      <c r="M49" s="22" t="s">
        <v>748</v>
      </c>
      <c r="N49" s="40"/>
      <c r="O49" s="48"/>
      <c r="P49" s="40"/>
      <c r="Q49" s="40"/>
      <c r="R49" s="40"/>
      <c r="S49" s="40"/>
      <c r="T49" s="40"/>
      <c r="U49" s="74" t="s">
        <v>782</v>
      </c>
      <c r="V49" s="48"/>
      <c r="W49" s="40"/>
      <c r="X49" s="40"/>
      <c r="Y49" s="40"/>
      <c r="Z49" s="40"/>
      <c r="AA49" s="40"/>
      <c r="AB49" s="40"/>
      <c r="AC49" s="48"/>
      <c r="AD49" s="40"/>
      <c r="AE49" s="40"/>
      <c r="AF49" s="40"/>
      <c r="AG49" s="40"/>
      <c r="AH49" s="91"/>
      <c r="AI49" s="21"/>
      <c r="AJ49" s="48"/>
      <c r="AK49" s="156"/>
      <c r="AL49" s="61"/>
      <c r="AM49" s="17"/>
    </row>
    <row r="50" spans="1:39" s="11" customFormat="1" ht="15" customHeight="1">
      <c r="A50" s="230"/>
      <c r="B50" s="91"/>
      <c r="C50" s="40"/>
      <c r="D50" s="40"/>
      <c r="E50" s="40"/>
      <c r="F50" s="171" t="s">
        <v>1330</v>
      </c>
      <c r="G50" s="40"/>
      <c r="H50" s="48"/>
      <c r="I50" s="40"/>
      <c r="J50" s="40"/>
      <c r="K50" s="40"/>
      <c r="L50" s="40"/>
      <c r="M50" s="22" t="s">
        <v>750</v>
      </c>
      <c r="N50" s="40"/>
      <c r="O50" s="48"/>
      <c r="P50" s="40"/>
      <c r="Q50" s="22"/>
      <c r="R50" s="40"/>
      <c r="S50" s="40"/>
      <c r="T50" s="40"/>
      <c r="U50" s="22" t="s">
        <v>783</v>
      </c>
      <c r="V50" s="48"/>
      <c r="W50" s="40"/>
      <c r="X50" s="40"/>
      <c r="Y50" s="40"/>
      <c r="Z50" s="40"/>
      <c r="AA50" s="40"/>
      <c r="AB50" s="40"/>
      <c r="AC50" s="48"/>
      <c r="AD50" s="40"/>
      <c r="AE50" s="40"/>
      <c r="AF50" s="40"/>
      <c r="AG50" s="40"/>
      <c r="AH50" s="91"/>
      <c r="AI50" s="40"/>
      <c r="AJ50" s="48"/>
      <c r="AK50" s="156"/>
      <c r="AL50" s="61"/>
      <c r="AM50" s="17"/>
    </row>
    <row r="51" spans="1:39" s="11" customFormat="1" ht="15" customHeight="1">
      <c r="A51" s="230"/>
      <c r="B51" s="91"/>
      <c r="C51" s="22"/>
      <c r="D51" s="40"/>
      <c r="E51" s="40"/>
      <c r="F51" s="201" t="s">
        <v>1354</v>
      </c>
      <c r="G51" s="40"/>
      <c r="H51" s="48"/>
      <c r="I51" s="40"/>
      <c r="J51" s="40"/>
      <c r="K51" s="40"/>
      <c r="L51" s="40"/>
      <c r="M51" s="22" t="s">
        <v>749</v>
      </c>
      <c r="N51" s="40"/>
      <c r="O51" s="48"/>
      <c r="P51" s="40"/>
      <c r="Q51" s="22"/>
      <c r="R51" s="40"/>
      <c r="S51" s="40"/>
      <c r="T51" s="195"/>
      <c r="U51" s="22" t="s">
        <v>784</v>
      </c>
      <c r="V51" s="48"/>
      <c r="W51" s="40"/>
      <c r="X51" s="40"/>
      <c r="Y51" s="40"/>
      <c r="Z51" s="40"/>
      <c r="AA51" s="40"/>
      <c r="AB51" s="40"/>
      <c r="AC51" s="48"/>
      <c r="AD51" s="40"/>
      <c r="AE51" s="189"/>
      <c r="AF51" s="40"/>
      <c r="AG51" s="40"/>
      <c r="AH51" s="91"/>
      <c r="AI51" s="40"/>
      <c r="AJ51" s="48"/>
      <c r="AK51" s="156"/>
      <c r="AL51" s="61"/>
      <c r="AM51" s="17"/>
    </row>
    <row r="52" spans="1:39" s="11" customFormat="1" ht="15" customHeight="1">
      <c r="A52" s="230"/>
      <c r="B52" s="91"/>
      <c r="C52" s="22"/>
      <c r="D52" s="40"/>
      <c r="E52" s="40"/>
      <c r="F52" s="195" t="s">
        <v>1365</v>
      </c>
      <c r="G52" s="40"/>
      <c r="H52" s="48"/>
      <c r="I52" s="40"/>
      <c r="J52" s="40"/>
      <c r="K52" s="40"/>
      <c r="L52" s="40"/>
      <c r="M52" s="22" t="s">
        <v>751</v>
      </c>
      <c r="N52" s="40"/>
      <c r="O52" s="48"/>
      <c r="P52" s="40"/>
      <c r="Q52" s="22"/>
      <c r="R52" s="40"/>
      <c r="S52" s="40"/>
      <c r="T52" s="40"/>
      <c r="U52" s="22" t="s">
        <v>785</v>
      </c>
      <c r="V52" s="48"/>
      <c r="W52" s="40"/>
      <c r="X52" s="40"/>
      <c r="Y52" s="40"/>
      <c r="Z52" s="40"/>
      <c r="AA52" s="40"/>
      <c r="AB52" s="40"/>
      <c r="AC52" s="48"/>
      <c r="AD52" s="40"/>
      <c r="AE52" s="40"/>
      <c r="AF52" s="40"/>
      <c r="AG52" s="40"/>
      <c r="AH52" s="91"/>
      <c r="AI52" s="40"/>
      <c r="AJ52" s="48"/>
      <c r="AK52" s="156"/>
      <c r="AL52" s="61"/>
      <c r="AM52" s="17"/>
    </row>
    <row r="53" spans="1:39" s="11" customFormat="1" ht="15" customHeight="1">
      <c r="A53" s="230"/>
      <c r="B53" s="91"/>
      <c r="C53" s="22"/>
      <c r="D53" s="40"/>
      <c r="E53" s="40"/>
      <c r="F53" s="21"/>
      <c r="G53" s="40"/>
      <c r="H53" s="48"/>
      <c r="I53" s="40"/>
      <c r="J53" s="40"/>
      <c r="K53" s="40"/>
      <c r="L53" s="40"/>
      <c r="M53" s="202" t="s">
        <v>1353</v>
      </c>
      <c r="N53" s="40"/>
      <c r="O53" s="48"/>
      <c r="P53" s="40"/>
      <c r="Q53" s="22"/>
      <c r="R53" s="40"/>
      <c r="S53" s="40"/>
      <c r="T53" s="40"/>
      <c r="U53" s="22" t="s">
        <v>786</v>
      </c>
      <c r="V53" s="48"/>
      <c r="W53" s="40"/>
      <c r="X53" s="40"/>
      <c r="Y53" s="40"/>
      <c r="Z53" s="40"/>
      <c r="AA53" s="40"/>
      <c r="AB53" s="21"/>
      <c r="AC53" s="48"/>
      <c r="AD53" s="40"/>
      <c r="AE53" s="50"/>
      <c r="AF53" s="40"/>
      <c r="AG53" s="40"/>
      <c r="AH53" s="91"/>
      <c r="AI53" s="40"/>
      <c r="AJ53" s="48"/>
      <c r="AK53" s="156"/>
      <c r="AL53" s="61"/>
      <c r="AM53" s="17"/>
    </row>
    <row r="54" spans="1:39" s="11" customFormat="1" ht="15" customHeight="1">
      <c r="A54" s="230"/>
      <c r="B54" s="91"/>
      <c r="C54" s="22"/>
      <c r="D54" s="40"/>
      <c r="E54" s="40"/>
      <c r="F54" s="21"/>
      <c r="G54" s="40"/>
      <c r="H54" s="48"/>
      <c r="I54" s="40"/>
      <c r="J54" s="40"/>
      <c r="K54" s="40"/>
      <c r="L54" s="40"/>
      <c r="M54" s="74" t="s">
        <v>754</v>
      </c>
      <c r="N54" s="40"/>
      <c r="O54" s="48"/>
      <c r="P54" s="40"/>
      <c r="Q54" s="22"/>
      <c r="R54" s="40"/>
      <c r="S54" s="40"/>
      <c r="T54" s="40"/>
      <c r="U54" s="74" t="s">
        <v>787</v>
      </c>
      <c r="V54" s="48"/>
      <c r="W54" s="40"/>
      <c r="X54" s="40"/>
      <c r="Y54" s="40"/>
      <c r="Z54" s="40"/>
      <c r="AA54" s="40"/>
      <c r="AB54" s="21"/>
      <c r="AC54" s="48"/>
      <c r="AD54" s="40"/>
      <c r="AE54" s="40"/>
      <c r="AF54" s="40"/>
      <c r="AG54" s="40"/>
      <c r="AH54" s="91"/>
      <c r="AI54" s="40"/>
      <c r="AJ54" s="48"/>
      <c r="AK54" s="156"/>
      <c r="AL54" s="61"/>
      <c r="AM54" s="17"/>
    </row>
    <row r="55" spans="1:39" s="11" customFormat="1" ht="15" customHeight="1">
      <c r="A55" s="230"/>
      <c r="B55" s="91"/>
      <c r="C55" s="22"/>
      <c r="D55" s="40"/>
      <c r="E55" s="40"/>
      <c r="F55" s="21"/>
      <c r="G55" s="40"/>
      <c r="H55" s="48"/>
      <c r="I55" s="40"/>
      <c r="J55" s="40"/>
      <c r="K55" s="40"/>
      <c r="L55" s="40"/>
      <c r="M55" s="40"/>
      <c r="N55" s="40"/>
      <c r="O55" s="48"/>
      <c r="P55" s="40"/>
      <c r="Q55" s="22"/>
      <c r="R55" s="40"/>
      <c r="S55" s="40"/>
      <c r="T55" s="40"/>
      <c r="U55" s="22" t="s">
        <v>778</v>
      </c>
      <c r="V55" s="48"/>
      <c r="W55" s="40"/>
      <c r="X55" s="40"/>
      <c r="Y55" s="40"/>
      <c r="Z55" s="40"/>
      <c r="AA55" s="40"/>
      <c r="AB55" s="21"/>
      <c r="AC55" s="48"/>
      <c r="AD55" s="40"/>
      <c r="AE55" s="40"/>
      <c r="AF55" s="40"/>
      <c r="AG55" s="40"/>
      <c r="AH55" s="91"/>
      <c r="AI55" s="40"/>
      <c r="AJ55" s="48"/>
      <c r="AK55" s="156"/>
      <c r="AL55" s="61"/>
      <c r="AM55" s="17"/>
    </row>
    <row r="56" spans="1:39" s="11" customFormat="1" ht="15" customHeight="1">
      <c r="A56" s="230"/>
      <c r="B56" s="91"/>
      <c r="C56" s="22"/>
      <c r="D56" s="40"/>
      <c r="E56" s="40"/>
      <c r="F56" s="21"/>
      <c r="G56" s="40"/>
      <c r="H56" s="48"/>
      <c r="I56" s="40"/>
      <c r="J56" s="40"/>
      <c r="K56" s="40"/>
      <c r="L56" s="40"/>
      <c r="M56" s="40"/>
      <c r="N56" s="40"/>
      <c r="O56" s="48"/>
      <c r="P56" s="40"/>
      <c r="Q56" s="22"/>
      <c r="R56" s="40"/>
      <c r="S56" s="40"/>
      <c r="T56" s="40"/>
      <c r="U56" s="22" t="s">
        <v>779</v>
      </c>
      <c r="V56" s="48"/>
      <c r="W56" s="40"/>
      <c r="X56" s="40"/>
      <c r="Y56" s="40"/>
      <c r="Z56" s="40"/>
      <c r="AA56" s="40"/>
      <c r="AB56" s="21"/>
      <c r="AC56" s="48"/>
      <c r="AD56" s="40"/>
      <c r="AE56" s="153"/>
      <c r="AF56" s="40"/>
      <c r="AG56" s="40"/>
      <c r="AH56" s="91"/>
      <c r="AI56" s="40"/>
      <c r="AJ56" s="48"/>
      <c r="AK56" s="156"/>
      <c r="AL56" s="61"/>
      <c r="AM56" s="17"/>
    </row>
    <row r="57" spans="1:39" s="11" customFormat="1" ht="16.5" customHeight="1">
      <c r="A57" s="230"/>
      <c r="B57" s="24"/>
      <c r="C57" s="56"/>
      <c r="D57" s="24"/>
      <c r="E57" s="56"/>
      <c r="F57" s="24"/>
      <c r="G57" s="233">
        <f>1271+555+239+409+645+130+2601+1148</f>
        <v>6998</v>
      </c>
      <c r="H57" s="234"/>
      <c r="I57" s="24"/>
      <c r="J57" s="56"/>
      <c r="K57" s="24"/>
      <c r="L57" s="56"/>
      <c r="M57" s="233">
        <f>1228+429+1130+376+299+1200+2756+473+578+116+1161+862</f>
        <v>10608</v>
      </c>
      <c r="N57" s="234"/>
      <c r="O57" s="25"/>
      <c r="P57" s="56"/>
      <c r="Q57" s="24"/>
      <c r="R57" s="24"/>
      <c r="S57" s="24"/>
      <c r="T57" s="24"/>
      <c r="U57" s="233">
        <f>607+569+786+71+603+216+150+1899+458+643+765+234+203+299+324+404+661</f>
        <v>8892</v>
      </c>
      <c r="V57" s="234"/>
      <c r="W57" s="24"/>
      <c r="X57" s="24"/>
      <c r="Y57" s="24"/>
      <c r="Z57" s="24"/>
      <c r="AA57" s="56"/>
      <c r="AB57" s="24"/>
      <c r="AC57" s="56"/>
      <c r="AD57" s="233">
        <v>1822</v>
      </c>
      <c r="AE57" s="234"/>
      <c r="AF57" s="56"/>
      <c r="AG57" s="24"/>
      <c r="AH57" s="56"/>
      <c r="AI57" s="56"/>
      <c r="AJ57" s="24"/>
      <c r="AK57" s="24"/>
      <c r="AL57" s="64"/>
      <c r="AM57" s="17"/>
    </row>
    <row r="58" spans="1:39" s="11" customFormat="1" ht="2.25" customHeight="1">
      <c r="A58" s="26"/>
      <c r="B58" s="27"/>
      <c r="C58" s="27"/>
      <c r="D58" s="27"/>
      <c r="E58" s="28"/>
      <c r="F58" s="27"/>
      <c r="G58" s="27"/>
      <c r="H58" s="27"/>
      <c r="I58" s="27"/>
      <c r="J58" s="44"/>
      <c r="K58" s="44"/>
      <c r="L58" s="44"/>
      <c r="M58" s="44"/>
      <c r="N58" s="44"/>
      <c r="O58" s="27"/>
      <c r="P58" s="27"/>
      <c r="Q58" s="44"/>
      <c r="R58" s="44"/>
      <c r="S58" s="44"/>
      <c r="T58" s="44"/>
      <c r="U58" s="44"/>
      <c r="V58" s="27"/>
      <c r="W58" s="27"/>
      <c r="X58" s="27"/>
      <c r="Y58" s="44"/>
      <c r="Z58" s="44"/>
      <c r="AA58" s="44"/>
      <c r="AB58" s="44"/>
      <c r="AC58" s="27"/>
      <c r="AD58" s="27"/>
      <c r="AE58" s="44"/>
      <c r="AF58" s="44"/>
      <c r="AG58" s="44"/>
      <c r="AH58" s="44"/>
      <c r="AI58" s="44"/>
      <c r="AJ58" s="44"/>
      <c r="AK58" s="44"/>
      <c r="AL58" s="30"/>
    </row>
    <row r="59" spans="1:39" s="11" customFormat="1" ht="19.5" customHeight="1">
      <c r="A59" s="12" t="s">
        <v>0</v>
      </c>
      <c r="B59" s="16"/>
      <c r="C59" s="16"/>
      <c r="D59" s="16"/>
      <c r="E59" s="16"/>
      <c r="F59" s="16"/>
      <c r="G59" s="16"/>
      <c r="H59" s="25"/>
      <c r="I59" s="68">
        <v>1040</v>
      </c>
      <c r="J59" s="16">
        <v>1600</v>
      </c>
      <c r="K59" s="16">
        <v>1600</v>
      </c>
      <c r="L59" s="16">
        <v>1600</v>
      </c>
      <c r="M59" s="16">
        <v>1600</v>
      </c>
      <c r="N59" s="16">
        <v>1160</v>
      </c>
      <c r="O59" s="25"/>
      <c r="P59" s="16">
        <v>1160</v>
      </c>
      <c r="Q59" s="16">
        <v>1380</v>
      </c>
      <c r="R59" s="16">
        <v>1600</v>
      </c>
      <c r="S59" s="16">
        <v>1380</v>
      </c>
      <c r="T59" s="51">
        <v>1600</v>
      </c>
      <c r="U59" s="16">
        <v>1380</v>
      </c>
      <c r="V59" s="25"/>
      <c r="W59" s="16">
        <v>1380</v>
      </c>
      <c r="X59" s="16">
        <v>1160</v>
      </c>
      <c r="Y59" s="16">
        <v>1160</v>
      </c>
      <c r="Z59" s="16">
        <v>1160</v>
      </c>
      <c r="AA59" s="16">
        <v>1160</v>
      </c>
      <c r="AB59" s="16">
        <v>1160</v>
      </c>
      <c r="AC59" s="25"/>
      <c r="AD59" s="16">
        <v>1160</v>
      </c>
      <c r="AE59" s="16">
        <v>1160</v>
      </c>
      <c r="AF59" s="16">
        <v>1160</v>
      </c>
      <c r="AG59" s="68">
        <v>1010</v>
      </c>
      <c r="AH59" s="68">
        <v>1010</v>
      </c>
      <c r="AI59" s="51">
        <v>1120</v>
      </c>
      <c r="AJ59" s="25"/>
      <c r="AK59" s="51"/>
      <c r="AL59" s="60"/>
      <c r="AM59" s="17">
        <f>+SUM(B59:AL59)</f>
        <v>30900</v>
      </c>
    </row>
    <row r="60" spans="1:39" s="17" customFormat="1" ht="19.5" customHeight="1">
      <c r="A60" s="12" t="s">
        <v>18</v>
      </c>
      <c r="B60" s="122">
        <v>11</v>
      </c>
      <c r="C60" s="122">
        <v>11</v>
      </c>
      <c r="D60" s="122">
        <v>11</v>
      </c>
      <c r="E60" s="122">
        <v>11</v>
      </c>
      <c r="F60" s="122">
        <v>8</v>
      </c>
      <c r="G60" s="122">
        <v>8</v>
      </c>
      <c r="H60" s="25"/>
      <c r="I60" s="18">
        <v>11</v>
      </c>
      <c r="J60" s="18">
        <v>11</v>
      </c>
      <c r="K60" s="18">
        <v>11</v>
      </c>
      <c r="L60" s="18">
        <v>11</v>
      </c>
      <c r="M60" s="18">
        <v>8</v>
      </c>
      <c r="N60" s="18">
        <v>8</v>
      </c>
      <c r="O60" s="25"/>
      <c r="P60" s="18">
        <v>9.5</v>
      </c>
      <c r="Q60" s="18">
        <v>11</v>
      </c>
      <c r="R60" s="18">
        <v>9.5</v>
      </c>
      <c r="S60" s="18">
        <v>11</v>
      </c>
      <c r="T60" s="18">
        <v>9.5</v>
      </c>
      <c r="U60" s="18">
        <v>9.5</v>
      </c>
      <c r="V60" s="25"/>
      <c r="W60" s="18">
        <v>8</v>
      </c>
      <c r="X60" s="18">
        <v>8</v>
      </c>
      <c r="Y60" s="18">
        <v>8</v>
      </c>
      <c r="Z60" s="18">
        <v>8</v>
      </c>
      <c r="AA60" s="18">
        <v>8</v>
      </c>
      <c r="AB60" s="18">
        <v>8</v>
      </c>
      <c r="AC60" s="25"/>
      <c r="AD60" s="18">
        <v>8</v>
      </c>
      <c r="AE60" s="18">
        <v>8</v>
      </c>
      <c r="AF60" s="18">
        <v>8</v>
      </c>
      <c r="AG60" s="18">
        <v>8</v>
      </c>
      <c r="AH60" s="18">
        <v>8</v>
      </c>
      <c r="AI60" s="18">
        <v>8</v>
      </c>
      <c r="AJ60" s="25"/>
      <c r="AK60" s="18"/>
      <c r="AL60" s="130"/>
    </row>
    <row r="61" spans="1:39" s="17" customFormat="1" ht="17.25" customHeight="1">
      <c r="A61" s="2" t="s">
        <v>19</v>
      </c>
      <c r="B61" s="41"/>
      <c r="C61" s="41"/>
      <c r="D61" s="41"/>
      <c r="E61" s="41"/>
      <c r="F61" s="41"/>
      <c r="G61" s="41"/>
      <c r="H61" s="25"/>
      <c r="I61" s="41" t="s">
        <v>345</v>
      </c>
      <c r="J61" s="41"/>
      <c r="K61" s="41"/>
      <c r="L61" s="41"/>
      <c r="M61" s="41"/>
      <c r="N61" s="41"/>
      <c r="O61" s="25"/>
      <c r="P61" s="41"/>
      <c r="Q61" s="41"/>
      <c r="R61" s="41"/>
      <c r="S61" s="41"/>
      <c r="T61" s="41"/>
      <c r="U61" s="41"/>
      <c r="V61" s="25"/>
      <c r="W61" s="41"/>
      <c r="X61" s="41"/>
      <c r="Y61" s="41"/>
      <c r="Z61" s="41"/>
      <c r="AA61" s="41"/>
      <c r="AB61" s="41"/>
      <c r="AC61" s="25"/>
      <c r="AD61" s="41"/>
      <c r="AE61" s="41"/>
      <c r="AF61" s="41"/>
      <c r="AG61" s="41" t="s">
        <v>98</v>
      </c>
      <c r="AH61" s="41" t="s">
        <v>98</v>
      </c>
      <c r="AI61" s="41"/>
      <c r="AJ61" s="25"/>
      <c r="AK61" s="41"/>
      <c r="AL61" s="60"/>
    </row>
    <row r="62" spans="1:39" s="17" customFormat="1" ht="17.25" customHeight="1">
      <c r="A62" s="2" t="s">
        <v>20</v>
      </c>
      <c r="B62" s="20"/>
      <c r="C62" s="20"/>
      <c r="D62" s="20"/>
      <c r="E62" s="20"/>
      <c r="F62" s="20"/>
      <c r="G62" s="20"/>
      <c r="H62" s="25"/>
      <c r="I62" s="20">
        <v>0.9</v>
      </c>
      <c r="J62" s="20"/>
      <c r="K62" s="20"/>
      <c r="L62" s="20"/>
      <c r="M62" s="20"/>
      <c r="N62" s="20"/>
      <c r="O62" s="25"/>
      <c r="P62" s="20"/>
      <c r="Q62" s="20"/>
      <c r="R62" s="20"/>
      <c r="S62" s="20"/>
      <c r="T62" s="20"/>
      <c r="U62" s="20"/>
      <c r="V62" s="25"/>
      <c r="W62" s="20"/>
      <c r="X62" s="20"/>
      <c r="Y62" s="20"/>
      <c r="Z62" s="20"/>
      <c r="AA62" s="20"/>
      <c r="AB62" s="20"/>
      <c r="AC62" s="25"/>
      <c r="AD62" s="20"/>
      <c r="AE62" s="20"/>
      <c r="AF62" s="20"/>
      <c r="AG62" s="20">
        <v>0.9</v>
      </c>
      <c r="AH62" s="20">
        <v>0.9</v>
      </c>
      <c r="AI62" s="20"/>
      <c r="AJ62" s="25"/>
      <c r="AK62" s="20"/>
      <c r="AL62" s="60"/>
    </row>
    <row r="63" spans="1:39" s="11" customFormat="1" ht="16.5" customHeight="1">
      <c r="A63" s="229" t="s">
        <v>10</v>
      </c>
      <c r="B63" s="46"/>
      <c r="C63" s="49"/>
      <c r="D63" s="40"/>
      <c r="E63" s="40"/>
      <c r="F63" s="47"/>
      <c r="G63" s="40"/>
      <c r="H63" s="48"/>
      <c r="I63" s="50" t="s">
        <v>747</v>
      </c>
      <c r="J63" s="47"/>
      <c r="K63" s="50"/>
      <c r="M63" s="40"/>
      <c r="N63" s="40"/>
      <c r="O63" s="206"/>
      <c r="P63" s="40"/>
      <c r="Q63" s="40"/>
      <c r="R63" s="40"/>
      <c r="S63" s="40"/>
      <c r="T63" s="50" t="s">
        <v>747</v>
      </c>
      <c r="U63" s="40"/>
      <c r="V63" s="48"/>
      <c r="W63" s="40"/>
      <c r="X63" s="40"/>
      <c r="Y63" s="40"/>
      <c r="Z63" s="40"/>
      <c r="AC63" s="48"/>
      <c r="AD63" s="50"/>
      <c r="AE63" s="40"/>
      <c r="AF63" s="40"/>
      <c r="AG63" s="55" t="s">
        <v>731</v>
      </c>
      <c r="AH63" s="46"/>
      <c r="AI63" s="47"/>
      <c r="AJ63" s="48"/>
      <c r="AK63" s="62"/>
      <c r="AL63" s="61"/>
      <c r="AM63" s="17"/>
    </row>
    <row r="64" spans="1:39" s="11" customFormat="1" ht="16.5" customHeight="1">
      <c r="A64" s="230"/>
      <c r="B64" s="22"/>
      <c r="C64" s="22"/>
      <c r="D64" s="40"/>
      <c r="E64" s="40"/>
      <c r="F64" s="21"/>
      <c r="G64" s="40"/>
      <c r="H64" s="48"/>
      <c r="I64" s="171" t="s">
        <v>1377</v>
      </c>
      <c r="J64" s="21"/>
      <c r="K64" s="22"/>
      <c r="L64" s="40"/>
      <c r="M64" s="40"/>
      <c r="N64" s="40"/>
      <c r="O64" s="48"/>
      <c r="P64" s="40"/>
      <c r="Q64" s="40"/>
      <c r="R64" s="40"/>
      <c r="S64" s="40"/>
      <c r="T64" s="74" t="s">
        <v>758</v>
      </c>
      <c r="U64" s="40"/>
      <c r="V64" s="48"/>
      <c r="W64" s="40"/>
      <c r="X64" s="40"/>
      <c r="Y64" s="40"/>
      <c r="Z64" s="40"/>
      <c r="AA64" s="40"/>
      <c r="AB64" s="40"/>
      <c r="AC64" s="48"/>
      <c r="AD64" s="40"/>
      <c r="AE64" s="40"/>
      <c r="AF64" s="40"/>
      <c r="AG64" s="22" t="s">
        <v>734</v>
      </c>
      <c r="AH64" s="21"/>
      <c r="AI64" s="21"/>
      <c r="AJ64" s="48"/>
      <c r="AK64" s="58"/>
      <c r="AL64" s="61"/>
    </row>
    <row r="65" spans="1:38" s="11" customFormat="1" ht="16.5" customHeight="1">
      <c r="A65" s="230"/>
      <c r="B65" s="22"/>
      <c r="C65" s="22"/>
      <c r="D65" s="40"/>
      <c r="E65" s="40"/>
      <c r="F65" s="21"/>
      <c r="G65" s="40"/>
      <c r="H65" s="48"/>
      <c r="I65" s="171" t="s">
        <v>1376</v>
      </c>
      <c r="J65" s="21"/>
      <c r="K65" s="22"/>
      <c r="L65" s="40"/>
      <c r="M65" s="40"/>
      <c r="N65" s="40"/>
      <c r="O65" s="48"/>
      <c r="P65" s="40"/>
      <c r="Q65" s="40"/>
      <c r="R65" s="50"/>
      <c r="S65" s="40"/>
      <c r="T65" s="74" t="s">
        <v>759</v>
      </c>
      <c r="U65" s="40"/>
      <c r="V65" s="48"/>
      <c r="W65" s="40"/>
      <c r="X65" s="40"/>
      <c r="Y65" s="40"/>
      <c r="Z65" s="40"/>
      <c r="AA65" s="40"/>
      <c r="AB65" s="40"/>
      <c r="AC65" s="48"/>
      <c r="AD65" s="40"/>
      <c r="AE65" s="40"/>
      <c r="AF65" s="40"/>
      <c r="AG65" s="22" t="s">
        <v>735</v>
      </c>
      <c r="AH65" s="21"/>
      <c r="AI65" s="21"/>
      <c r="AJ65" s="48"/>
      <c r="AK65" s="58"/>
      <c r="AL65" s="61"/>
    </row>
    <row r="66" spans="1:38" s="11" customFormat="1" ht="16.5" customHeight="1">
      <c r="A66" s="230"/>
      <c r="B66" s="22"/>
      <c r="C66" s="55"/>
      <c r="D66" s="40"/>
      <c r="E66" s="40"/>
      <c r="F66" s="21"/>
      <c r="G66" s="40"/>
      <c r="H66" s="48"/>
      <c r="I66" s="171" t="s">
        <v>1375</v>
      </c>
      <c r="J66" s="21"/>
      <c r="K66" s="22"/>
      <c r="L66" s="40"/>
      <c r="M66" s="40"/>
      <c r="N66" s="40"/>
      <c r="O66" s="48"/>
      <c r="P66" s="40"/>
      <c r="Q66" s="40"/>
      <c r="R66" s="40"/>
      <c r="S66" s="40"/>
      <c r="T66" s="74" t="s">
        <v>761</v>
      </c>
      <c r="U66" s="40"/>
      <c r="V66" s="48"/>
      <c r="W66" s="40"/>
      <c r="X66" s="40"/>
      <c r="Y66" s="40"/>
      <c r="Z66" s="40"/>
      <c r="AA66" s="40"/>
      <c r="AB66" s="40"/>
      <c r="AC66" s="48"/>
      <c r="AD66" s="40"/>
      <c r="AE66" s="40"/>
      <c r="AF66" s="40"/>
      <c r="AG66" s="22" t="s">
        <v>736</v>
      </c>
      <c r="AH66" s="21"/>
      <c r="AI66" s="21"/>
      <c r="AJ66" s="48"/>
      <c r="AK66" s="58"/>
      <c r="AL66" s="61"/>
    </row>
    <row r="67" spans="1:38" s="11" customFormat="1" ht="16.5" customHeight="1">
      <c r="A67" s="230"/>
      <c r="B67" s="22"/>
      <c r="C67" s="22"/>
      <c r="D67" s="40"/>
      <c r="E67" s="40"/>
      <c r="F67" s="21"/>
      <c r="G67" s="40"/>
      <c r="H67" s="48"/>
      <c r="I67" s="171" t="s">
        <v>1374</v>
      </c>
      <c r="J67" s="21"/>
      <c r="K67" s="53"/>
      <c r="L67" s="40"/>
      <c r="M67" s="40"/>
      <c r="N67" s="40"/>
      <c r="O67" s="48"/>
      <c r="P67" s="40"/>
      <c r="Q67" s="40"/>
      <c r="R67" s="40"/>
      <c r="S67" s="40"/>
      <c r="T67" s="74" t="s">
        <v>757</v>
      </c>
      <c r="U67" s="40"/>
      <c r="V67" s="48"/>
      <c r="W67" s="40"/>
      <c r="X67" s="40"/>
      <c r="Y67" s="40"/>
      <c r="Z67" s="40"/>
      <c r="AA67" s="40"/>
      <c r="AB67" s="40"/>
      <c r="AC67" s="48"/>
      <c r="AD67" s="40"/>
      <c r="AE67" s="40"/>
      <c r="AF67" s="40"/>
      <c r="AG67" s="89" t="s">
        <v>728</v>
      </c>
      <c r="AH67" s="21"/>
      <c r="AI67" s="21"/>
      <c r="AJ67" s="48"/>
      <c r="AK67" s="58"/>
      <c r="AL67" s="61"/>
    </row>
    <row r="68" spans="1:38" s="11" customFormat="1" ht="16.5" customHeight="1">
      <c r="A68" s="230"/>
      <c r="B68" s="22"/>
      <c r="C68" s="22"/>
      <c r="D68" s="40"/>
      <c r="E68" s="40"/>
      <c r="F68" s="21"/>
      <c r="G68" s="40"/>
      <c r="H68" s="48"/>
      <c r="I68" s="195" t="s">
        <v>1365</v>
      </c>
      <c r="J68" s="21"/>
      <c r="K68" s="53"/>
      <c r="L68" s="40"/>
      <c r="M68" s="40"/>
      <c r="N68" s="40"/>
      <c r="O68" s="48"/>
      <c r="P68" s="40"/>
      <c r="Q68" s="40"/>
      <c r="R68" s="166"/>
      <c r="S68" s="40"/>
      <c r="T68" s="22" t="s">
        <v>755</v>
      </c>
      <c r="U68" s="40"/>
      <c r="V68" s="48"/>
      <c r="W68" s="40"/>
      <c r="X68" s="40"/>
      <c r="Y68" s="40"/>
      <c r="Z68" s="40"/>
      <c r="AA68" s="40"/>
      <c r="AB68" s="40"/>
      <c r="AC68" s="48"/>
      <c r="AD68" s="40"/>
      <c r="AE68" s="40"/>
      <c r="AF68" s="40"/>
      <c r="AG68" s="22" t="s">
        <v>729</v>
      </c>
      <c r="AH68" s="21"/>
      <c r="AI68" s="21"/>
      <c r="AJ68" s="48"/>
      <c r="AK68" s="58"/>
      <c r="AL68" s="61"/>
    </row>
    <row r="69" spans="1:38" s="11" customFormat="1" ht="16.5" customHeight="1">
      <c r="A69" s="230"/>
      <c r="B69" s="22"/>
      <c r="C69" s="22"/>
      <c r="D69" s="203"/>
      <c r="E69" s="40"/>
      <c r="F69" s="21"/>
      <c r="G69" s="40"/>
      <c r="H69" s="48"/>
      <c r="I69" s="50" t="s">
        <v>752</v>
      </c>
      <c r="J69" s="21"/>
      <c r="K69" s="53"/>
      <c r="L69" s="40"/>
      <c r="M69" s="40"/>
      <c r="N69" s="40"/>
      <c r="O69" s="48"/>
      <c r="P69" s="40"/>
      <c r="Q69" s="40"/>
      <c r="R69" s="40"/>
      <c r="S69" s="40"/>
      <c r="T69" s="74" t="s">
        <v>756</v>
      </c>
      <c r="U69" s="40"/>
      <c r="V69" s="48"/>
      <c r="W69" s="40"/>
      <c r="X69" s="40"/>
      <c r="Y69" s="40"/>
      <c r="Z69" s="40"/>
      <c r="AA69" s="40"/>
      <c r="AB69" s="40"/>
      <c r="AC69" s="48"/>
      <c r="AD69" s="40"/>
      <c r="AE69" s="40"/>
      <c r="AF69" s="40"/>
      <c r="AG69" s="22" t="s">
        <v>730</v>
      </c>
      <c r="AH69" s="21"/>
      <c r="AI69" s="21"/>
      <c r="AJ69" s="48"/>
      <c r="AL69" s="61"/>
    </row>
    <row r="70" spans="1:38" s="11" customFormat="1" ht="16.5" customHeight="1">
      <c r="A70" s="230"/>
      <c r="B70" s="22"/>
      <c r="C70" s="22"/>
      <c r="D70" s="40"/>
      <c r="E70" s="40"/>
      <c r="F70" s="21"/>
      <c r="G70" s="40"/>
      <c r="H70" s="48"/>
      <c r="I70" s="22" t="s">
        <v>1327</v>
      </c>
      <c r="J70" s="21"/>
      <c r="K70" s="22"/>
      <c r="L70" s="40"/>
      <c r="M70" s="40"/>
      <c r="N70" s="40"/>
      <c r="O70" s="48"/>
      <c r="P70" s="40"/>
      <c r="Q70" s="40"/>
      <c r="R70" s="40"/>
      <c r="S70" s="40"/>
      <c r="T70" s="202" t="s">
        <v>760</v>
      </c>
      <c r="U70" s="40"/>
      <c r="V70" s="48"/>
      <c r="W70" s="40"/>
      <c r="X70" s="40"/>
      <c r="Y70" s="40"/>
      <c r="Z70" s="40"/>
      <c r="AA70" s="40"/>
      <c r="AB70" s="40"/>
      <c r="AC70" s="48"/>
      <c r="AD70" s="40"/>
      <c r="AE70" s="40"/>
      <c r="AF70" s="40"/>
      <c r="AG70" s="40"/>
      <c r="AH70" s="22"/>
      <c r="AI70" s="21"/>
      <c r="AJ70" s="231">
        <f>+SUM(B80:AL80)</f>
        <v>31052</v>
      </c>
      <c r="AK70" s="232"/>
      <c r="AL70" s="23" t="s">
        <v>1</v>
      </c>
    </row>
    <row r="71" spans="1:38" s="11" customFormat="1" ht="16.5" customHeight="1">
      <c r="A71" s="230"/>
      <c r="B71" s="22"/>
      <c r="C71" s="22"/>
      <c r="D71" s="40"/>
      <c r="E71" s="40"/>
      <c r="F71" s="21"/>
      <c r="G71" s="40"/>
      <c r="H71" s="48"/>
      <c r="I71" s="22" t="s">
        <v>1328</v>
      </c>
      <c r="J71" s="21"/>
      <c r="K71" s="53"/>
      <c r="L71" s="40"/>
      <c r="M71" s="40"/>
      <c r="N71" s="40"/>
      <c r="O71" s="48"/>
      <c r="P71" s="40"/>
      <c r="Q71" s="40"/>
      <c r="R71" s="40"/>
      <c r="S71" s="40"/>
      <c r="T71" s="50" t="s">
        <v>752</v>
      </c>
      <c r="U71" s="40"/>
      <c r="V71" s="48"/>
      <c r="W71" s="21"/>
      <c r="X71" s="40"/>
      <c r="Y71" s="40"/>
      <c r="Z71" s="40"/>
      <c r="AA71" s="40"/>
      <c r="AB71" s="40"/>
      <c r="AC71" s="48"/>
      <c r="AD71" s="40"/>
      <c r="AE71" s="40"/>
      <c r="AF71" s="40"/>
      <c r="AG71" s="40"/>
      <c r="AH71" s="40"/>
      <c r="AI71" s="21"/>
      <c r="AJ71" s="48"/>
      <c r="AL71" s="61"/>
    </row>
    <row r="72" spans="1:38" s="11" customFormat="1" ht="16.5" customHeight="1">
      <c r="A72" s="230"/>
      <c r="B72" s="91"/>
      <c r="C72" s="22"/>
      <c r="D72" s="40"/>
      <c r="E72" s="40"/>
      <c r="F72" s="21"/>
      <c r="G72" s="40"/>
      <c r="H72" s="48"/>
      <c r="I72" s="50" t="s">
        <v>747</v>
      </c>
      <c r="J72" s="40"/>
      <c r="K72" s="40"/>
      <c r="L72" s="40"/>
      <c r="M72" s="40"/>
      <c r="N72" s="40"/>
      <c r="O72" s="48"/>
      <c r="P72" s="40"/>
      <c r="Q72" s="40"/>
      <c r="R72" s="22"/>
      <c r="S72" s="40"/>
      <c r="T72" s="202" t="s">
        <v>753</v>
      </c>
      <c r="U72" s="21"/>
      <c r="V72" s="48"/>
      <c r="W72" s="21"/>
      <c r="X72" s="40"/>
      <c r="Y72" s="40"/>
      <c r="Z72" s="40"/>
      <c r="AA72" s="40"/>
      <c r="AB72" s="40"/>
      <c r="AC72" s="48"/>
      <c r="AD72" s="40"/>
      <c r="AE72" s="40"/>
      <c r="AF72" s="40"/>
      <c r="AG72" s="22"/>
      <c r="AH72" s="91"/>
      <c r="AI72" s="40"/>
      <c r="AJ72" s="48"/>
      <c r="AK72" s="156"/>
      <c r="AL72" s="61"/>
    </row>
    <row r="73" spans="1:38" s="11" customFormat="1" ht="16.5" customHeight="1">
      <c r="A73" s="230"/>
      <c r="B73" s="91"/>
      <c r="C73" s="22"/>
      <c r="D73" s="40"/>
      <c r="E73" s="21"/>
      <c r="F73" s="21"/>
      <c r="G73" s="40"/>
      <c r="H73" s="48"/>
      <c r="I73" s="22" t="s">
        <v>767</v>
      </c>
      <c r="J73" s="40"/>
      <c r="K73" s="40"/>
      <c r="L73" s="40"/>
      <c r="M73" s="40"/>
      <c r="N73" s="40"/>
      <c r="O73" s="48"/>
      <c r="P73" s="40"/>
      <c r="Q73" s="40"/>
      <c r="R73" s="22"/>
      <c r="S73" s="40"/>
      <c r="T73" s="22"/>
      <c r="U73" s="21"/>
      <c r="V73" s="48"/>
      <c r="W73" s="21"/>
      <c r="X73" s="40"/>
      <c r="Y73" s="40"/>
      <c r="Z73" s="40"/>
      <c r="AA73" s="40"/>
      <c r="AB73" s="40"/>
      <c r="AC73" s="48"/>
      <c r="AD73" s="40"/>
      <c r="AE73" s="40"/>
      <c r="AF73" s="40"/>
      <c r="AG73" s="40"/>
      <c r="AH73" s="91"/>
      <c r="AJ73" s="48"/>
      <c r="AK73" s="91"/>
      <c r="AL73" s="61"/>
    </row>
    <row r="74" spans="1:38" s="11" customFormat="1" ht="16.5" customHeight="1">
      <c r="A74" s="230"/>
      <c r="B74" s="91"/>
      <c r="C74" s="22"/>
      <c r="D74" s="40"/>
      <c r="E74" s="21"/>
      <c r="F74" s="21"/>
      <c r="G74" s="40"/>
      <c r="H74" s="48"/>
      <c r="I74" s="22" t="s">
        <v>762</v>
      </c>
      <c r="J74" s="40"/>
      <c r="K74" s="40"/>
      <c r="L74" s="40"/>
      <c r="M74" s="40"/>
      <c r="N74" s="40"/>
      <c r="O74" s="48"/>
      <c r="P74" s="40"/>
      <c r="Q74" s="40"/>
      <c r="R74" s="22"/>
      <c r="S74" s="40"/>
      <c r="T74" s="40"/>
      <c r="U74" s="21"/>
      <c r="V74" s="48"/>
      <c r="W74" s="21"/>
      <c r="X74" s="40"/>
      <c r="Y74" s="40"/>
      <c r="Z74" s="40"/>
      <c r="AA74" s="40"/>
      <c r="AB74" s="40"/>
      <c r="AC74" s="48"/>
      <c r="AD74" s="40"/>
      <c r="AE74" s="40"/>
      <c r="AF74" s="40"/>
      <c r="AG74" s="40"/>
      <c r="AH74" s="40"/>
      <c r="AI74" s="40"/>
      <c r="AJ74" s="48"/>
      <c r="AK74" s="91"/>
      <c r="AL74" s="61"/>
    </row>
    <row r="75" spans="1:38" s="11" customFormat="1" ht="16.5" customHeight="1">
      <c r="A75" s="230"/>
      <c r="B75" s="91"/>
      <c r="C75" s="22"/>
      <c r="D75" s="40"/>
      <c r="E75" s="21"/>
      <c r="F75" s="21"/>
      <c r="G75" s="40"/>
      <c r="H75" s="48"/>
      <c r="I75" s="166" t="s">
        <v>1379</v>
      </c>
      <c r="J75" s="40"/>
      <c r="K75" s="40"/>
      <c r="L75" s="40"/>
      <c r="M75" s="40"/>
      <c r="N75" s="40"/>
      <c r="O75" s="48"/>
      <c r="P75" s="40"/>
      <c r="Q75" s="40"/>
      <c r="R75" s="22"/>
      <c r="S75" s="40"/>
      <c r="T75" s="40"/>
      <c r="U75" s="21"/>
      <c r="V75" s="48"/>
      <c r="W75" s="21"/>
      <c r="X75" s="40"/>
      <c r="Y75" s="40"/>
      <c r="Z75" s="40"/>
      <c r="AA75" s="40"/>
      <c r="AB75" s="40"/>
      <c r="AC75" s="48"/>
      <c r="AD75" s="40"/>
      <c r="AE75" s="40"/>
      <c r="AF75" s="40"/>
      <c r="AG75" s="40"/>
      <c r="AH75" s="40"/>
      <c r="AI75" s="40"/>
      <c r="AJ75" s="48"/>
      <c r="AK75" s="91"/>
      <c r="AL75" s="61"/>
    </row>
    <row r="76" spans="1:38" s="11" customFormat="1" ht="16.5" customHeight="1">
      <c r="A76" s="230"/>
      <c r="B76" s="91"/>
      <c r="C76" s="22"/>
      <c r="D76" s="40"/>
      <c r="E76" s="21"/>
      <c r="F76" s="21"/>
      <c r="G76" s="40"/>
      <c r="H76" s="48"/>
      <c r="I76" s="22" t="s">
        <v>764</v>
      </c>
      <c r="J76" s="40"/>
      <c r="K76" s="40"/>
      <c r="L76" s="40"/>
      <c r="M76" s="40"/>
      <c r="N76" s="40"/>
      <c r="O76" s="48"/>
      <c r="P76" s="40"/>
      <c r="Q76" s="40"/>
      <c r="R76" s="22"/>
      <c r="S76" s="40"/>
      <c r="T76" s="40"/>
      <c r="U76" s="21"/>
      <c r="V76" s="48"/>
      <c r="W76" s="21"/>
      <c r="X76" s="40"/>
      <c r="Y76" s="40"/>
      <c r="Z76" s="40"/>
      <c r="AA76" s="40"/>
      <c r="AB76" s="40"/>
      <c r="AC76" s="48"/>
      <c r="AD76" s="40"/>
      <c r="AE76" s="40"/>
      <c r="AF76" s="40"/>
      <c r="AG76" s="40"/>
      <c r="AH76" s="40"/>
      <c r="AI76" s="40"/>
      <c r="AJ76" s="48"/>
      <c r="AK76" s="91"/>
      <c r="AL76" s="61"/>
    </row>
    <row r="77" spans="1:38" s="11" customFormat="1" ht="16.5" customHeight="1">
      <c r="A77" s="230"/>
      <c r="B77" s="91"/>
      <c r="C77" s="22"/>
      <c r="D77" s="40"/>
      <c r="E77" s="21"/>
      <c r="F77" s="21"/>
      <c r="G77" s="40"/>
      <c r="H77" s="48"/>
      <c r="I77" s="22" t="s">
        <v>763</v>
      </c>
      <c r="J77" s="40"/>
      <c r="K77" s="40"/>
      <c r="L77" s="40"/>
      <c r="M77" s="40"/>
      <c r="N77" s="40"/>
      <c r="O77" s="48"/>
      <c r="P77" s="40"/>
      <c r="Q77" s="40"/>
      <c r="R77" s="22"/>
      <c r="S77" s="40"/>
      <c r="T77" s="40"/>
      <c r="U77" s="21"/>
      <c r="V77" s="48"/>
      <c r="W77" s="21"/>
      <c r="X77" s="40"/>
      <c r="Y77" s="40"/>
      <c r="Z77" s="40"/>
      <c r="AA77" s="40"/>
      <c r="AB77" s="40"/>
      <c r="AC77" s="48"/>
      <c r="AD77" s="40"/>
      <c r="AE77" s="40"/>
      <c r="AF77" s="40"/>
      <c r="AG77" s="40"/>
      <c r="AH77" s="40"/>
      <c r="AI77" s="40"/>
      <c r="AJ77" s="48"/>
      <c r="AK77" s="91"/>
      <c r="AL77" s="61"/>
    </row>
    <row r="78" spans="1:38" s="11" customFormat="1" ht="16.5" customHeight="1">
      <c r="A78" s="230"/>
      <c r="B78" s="91"/>
      <c r="C78" s="22"/>
      <c r="D78" s="40"/>
      <c r="E78" s="21"/>
      <c r="F78" s="21"/>
      <c r="G78" s="40"/>
      <c r="H78" s="48"/>
      <c r="I78" s="22" t="s">
        <v>766</v>
      </c>
      <c r="J78" s="40"/>
      <c r="K78" s="40"/>
      <c r="L78" s="40"/>
      <c r="M78" s="40"/>
      <c r="N78" s="40"/>
      <c r="O78" s="48"/>
      <c r="P78" s="40"/>
      <c r="Q78" s="40"/>
      <c r="R78" s="22"/>
      <c r="S78" s="40"/>
      <c r="T78" s="22"/>
      <c r="U78" s="21"/>
      <c r="V78" s="48"/>
      <c r="W78" s="21"/>
      <c r="X78" s="40"/>
      <c r="Y78" s="40"/>
      <c r="Z78" s="40"/>
      <c r="AA78" s="22"/>
      <c r="AB78" s="40"/>
      <c r="AC78" s="48"/>
      <c r="AD78" s="40"/>
      <c r="AE78" s="40"/>
      <c r="AF78" s="40"/>
      <c r="AG78" s="40"/>
      <c r="AH78" s="40"/>
      <c r="AI78" s="40"/>
      <c r="AJ78" s="48"/>
      <c r="AK78" s="91"/>
      <c r="AL78" s="61"/>
    </row>
    <row r="79" spans="1:38" s="11" customFormat="1" ht="16.5" customHeight="1">
      <c r="A79" s="230"/>
      <c r="B79" s="91"/>
      <c r="C79" s="22"/>
      <c r="D79" s="40"/>
      <c r="E79" s="21"/>
      <c r="F79" s="21"/>
      <c r="G79" s="40"/>
      <c r="H79" s="48"/>
      <c r="I79" s="22" t="s">
        <v>765</v>
      </c>
      <c r="J79" s="40"/>
      <c r="K79" s="40"/>
      <c r="L79" s="40"/>
      <c r="M79" s="40"/>
      <c r="N79" s="40"/>
      <c r="O79" s="207"/>
      <c r="P79" s="40"/>
      <c r="Q79" s="40"/>
      <c r="R79" s="22"/>
      <c r="S79" s="40"/>
      <c r="T79" s="22"/>
      <c r="U79" s="21"/>
      <c r="V79" s="48"/>
      <c r="W79" s="21"/>
      <c r="X79" s="40"/>
      <c r="Y79" s="40"/>
      <c r="Z79" s="40"/>
      <c r="AA79" s="22"/>
      <c r="AB79" s="40"/>
      <c r="AC79" s="48"/>
      <c r="AD79" s="40"/>
      <c r="AE79" s="40"/>
      <c r="AF79" s="40"/>
      <c r="AG79" s="40"/>
      <c r="AH79" s="40"/>
      <c r="AI79" s="40"/>
      <c r="AJ79" s="48"/>
      <c r="AK79" s="91"/>
      <c r="AL79" s="61"/>
    </row>
    <row r="80" spans="1:38" s="11" customFormat="1" ht="16.5" customHeight="1">
      <c r="A80" s="230"/>
      <c r="B80" s="24"/>
      <c r="C80" s="56"/>
      <c r="D80" s="24"/>
      <c r="E80" s="56"/>
      <c r="F80" s="24"/>
      <c r="G80" s="56"/>
      <c r="H80" s="24"/>
      <c r="I80" s="233">
        <f>440+35+1125+3552+124+178+173+5500+1411+2883+58+219</f>
        <v>15698</v>
      </c>
      <c r="J80" s="234"/>
      <c r="K80" s="24"/>
      <c r="L80" s="24"/>
      <c r="M80" s="24"/>
      <c r="N80" s="56"/>
      <c r="O80" s="56"/>
      <c r="P80" s="56"/>
      <c r="Q80" s="24"/>
      <c r="R80" s="56"/>
      <c r="S80" s="24"/>
      <c r="T80" s="233">
        <f>5074+881+727+2000+176+1850+1475+381</f>
        <v>12564</v>
      </c>
      <c r="U80" s="234"/>
      <c r="V80" s="25"/>
      <c r="W80" s="56"/>
      <c r="X80" s="24"/>
      <c r="Y80" s="24"/>
      <c r="Z80" s="24"/>
      <c r="AA80" s="24"/>
      <c r="AB80" s="24"/>
      <c r="AC80" s="24"/>
      <c r="AD80" s="24"/>
      <c r="AE80" s="24"/>
      <c r="AF80" s="24"/>
      <c r="AG80" s="233">
        <f>210+701+679+600+600</f>
        <v>2790</v>
      </c>
      <c r="AH80" s="234"/>
      <c r="AI80" s="56"/>
      <c r="AJ80" s="24"/>
      <c r="AK80" s="24"/>
      <c r="AL80" s="64"/>
    </row>
    <row r="81" spans="1:38" s="11" customFormat="1" ht="2.25" customHeight="1">
      <c r="A81" s="26"/>
      <c r="B81" s="27"/>
      <c r="C81" s="27"/>
      <c r="D81" s="27"/>
      <c r="E81" s="28"/>
      <c r="F81" s="27"/>
      <c r="G81" s="27"/>
      <c r="H81" s="27"/>
      <c r="I81" s="27"/>
      <c r="J81" s="44"/>
      <c r="K81" s="44"/>
      <c r="L81" s="44"/>
      <c r="M81" s="44"/>
      <c r="N81" s="44"/>
      <c r="O81" s="27"/>
      <c r="P81" s="27"/>
      <c r="Q81" s="44"/>
      <c r="R81" s="44"/>
      <c r="S81" s="44"/>
      <c r="T81" s="44"/>
      <c r="U81" s="44"/>
      <c r="V81" s="27"/>
      <c r="W81" s="27"/>
      <c r="X81" s="44"/>
      <c r="Y81" s="44"/>
      <c r="Z81" s="44"/>
      <c r="AA81" s="44"/>
      <c r="AB81" s="44"/>
      <c r="AC81" s="27"/>
      <c r="AD81" s="27"/>
      <c r="AE81" s="44"/>
      <c r="AF81" s="44"/>
      <c r="AG81" s="44"/>
      <c r="AH81" s="44"/>
      <c r="AI81" s="44"/>
      <c r="AJ81" s="44"/>
      <c r="AK81" s="44"/>
      <c r="AL81" s="30"/>
    </row>
    <row r="82" spans="1:38" s="57" customFormat="1" ht="32.25" customHeight="1">
      <c r="A82" s="236" t="s">
        <v>2</v>
      </c>
      <c r="B82" s="38" t="s">
        <v>3</v>
      </c>
      <c r="C82" s="32"/>
      <c r="D82" s="31"/>
      <c r="E82" s="31"/>
      <c r="F82" s="32"/>
      <c r="G82" s="32"/>
      <c r="H82" s="32"/>
      <c r="I82" s="238" t="s">
        <v>4</v>
      </c>
      <c r="J82" s="32"/>
      <c r="K82" s="32"/>
      <c r="L82" s="32"/>
      <c r="M82" s="32"/>
      <c r="N82" s="32"/>
      <c r="O82" s="32"/>
      <c r="P82" s="238" t="s">
        <v>5</v>
      </c>
      <c r="Q82" s="32"/>
      <c r="R82" s="32"/>
      <c r="S82" s="32"/>
      <c r="T82" s="32"/>
      <c r="U82" s="32"/>
      <c r="V82" s="32"/>
      <c r="W82" s="238" t="s">
        <v>6</v>
      </c>
      <c r="X82" s="32"/>
      <c r="Y82" s="32"/>
      <c r="Z82" s="32"/>
      <c r="AA82" s="32"/>
      <c r="AB82" s="32"/>
      <c r="AC82" s="32"/>
      <c r="AD82" s="238" t="s">
        <v>46</v>
      </c>
      <c r="AE82" s="32"/>
      <c r="AF82" s="32"/>
      <c r="AG82" s="32"/>
      <c r="AH82" s="32"/>
      <c r="AI82" s="32"/>
      <c r="AJ82" s="32"/>
      <c r="AK82" s="32"/>
      <c r="AL82" s="33"/>
    </row>
    <row r="83" spans="1:38" s="57" customFormat="1" ht="32.25" customHeight="1" thickBot="1">
      <c r="A83" s="237"/>
      <c r="B83" s="39" t="s">
        <v>7</v>
      </c>
      <c r="C83" s="35"/>
      <c r="D83" s="34"/>
      <c r="E83" s="34"/>
      <c r="F83" s="35"/>
      <c r="G83" s="35"/>
      <c r="H83" s="35"/>
      <c r="I83" s="239"/>
      <c r="J83" s="35"/>
      <c r="K83" s="35"/>
      <c r="L83" s="35"/>
      <c r="M83" s="35"/>
      <c r="N83" s="35"/>
      <c r="O83" s="35"/>
      <c r="P83" s="239"/>
      <c r="Q83" s="35"/>
      <c r="R83" s="35"/>
      <c r="S83" s="35"/>
      <c r="T83" s="35"/>
      <c r="U83" s="35"/>
      <c r="V83" s="35"/>
      <c r="W83" s="239"/>
      <c r="X83" s="35"/>
      <c r="Y83" s="35"/>
      <c r="Z83" s="35"/>
      <c r="AA83" s="35"/>
      <c r="AB83" s="35"/>
      <c r="AC83" s="35"/>
      <c r="AD83" s="239"/>
      <c r="AE83" s="35"/>
      <c r="AF83" s="35"/>
      <c r="AG83" s="35"/>
      <c r="AH83" s="35"/>
      <c r="AI83" s="35"/>
      <c r="AJ83" s="35"/>
      <c r="AK83" s="35"/>
      <c r="AL83" s="36"/>
    </row>
  </sheetData>
  <mergeCells count="19">
    <mergeCell ref="A63:A80"/>
    <mergeCell ref="AJ70:AK70"/>
    <mergeCell ref="A82:A83"/>
    <mergeCell ref="I82:I83"/>
    <mergeCell ref="P82:P83"/>
    <mergeCell ref="W82:W83"/>
    <mergeCell ref="AD82:AD83"/>
    <mergeCell ref="T80:U80"/>
    <mergeCell ref="AG80:AH80"/>
    <mergeCell ref="I80:J80"/>
    <mergeCell ref="A39:A57"/>
    <mergeCell ref="AJ47:AK47"/>
    <mergeCell ref="M57:N57"/>
    <mergeCell ref="A9:A33"/>
    <mergeCell ref="AJ14:AK14"/>
    <mergeCell ref="G33:H33"/>
    <mergeCell ref="G57:H57"/>
    <mergeCell ref="U57:V57"/>
    <mergeCell ref="AD57:AE57"/>
  </mergeCells>
  <phoneticPr fontId="48" type="noConversion"/>
  <printOptions horizontalCentered="1"/>
  <pageMargins left="0" right="0" top="0" bottom="0" header="0" footer="0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103"/>
  <sheetViews>
    <sheetView zoomScale="75" zoomScaleNormal="75" workbookViewId="0">
      <pane ySplit="4" topLeftCell="A62" activePane="bottomLeft" state="frozen"/>
      <selection activeCell="X50" sqref="X50"/>
      <selection pane="bottomLeft" activeCell="G87" sqref="G87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42" s="4" customFormat="1" ht="22">
      <c r="A1" s="3"/>
      <c r="B1" s="7"/>
      <c r="Q1" s="1" t="s">
        <v>58</v>
      </c>
      <c r="AJ1" s="5" t="s">
        <v>1645</v>
      </c>
    </row>
    <row r="2" spans="1:42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42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42" s="11" customFormat="1" ht="17.25" customHeight="1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42" s="11" customFormat="1" ht="16.5" customHeight="1">
      <c r="A5" s="12" t="s">
        <v>0</v>
      </c>
      <c r="B5" s="16"/>
      <c r="C5" s="16"/>
      <c r="D5" s="16"/>
      <c r="E5" s="16"/>
      <c r="F5" s="16"/>
      <c r="G5" s="16">
        <v>720</v>
      </c>
      <c r="H5" s="25"/>
      <c r="I5" s="16">
        <v>720</v>
      </c>
      <c r="J5" s="16">
        <v>860</v>
      </c>
      <c r="K5" s="16">
        <v>990</v>
      </c>
      <c r="L5" s="16">
        <v>860</v>
      </c>
      <c r="M5" s="16">
        <v>990</v>
      </c>
      <c r="N5" s="16">
        <v>860</v>
      </c>
      <c r="O5" s="25"/>
      <c r="P5" s="16">
        <v>1140</v>
      </c>
      <c r="Q5" s="16">
        <v>1140</v>
      </c>
      <c r="R5" s="68">
        <v>1190</v>
      </c>
      <c r="S5" s="68">
        <v>1030</v>
      </c>
      <c r="T5" s="51">
        <v>1140</v>
      </c>
      <c r="U5" s="16">
        <v>1240</v>
      </c>
      <c r="V5" s="25"/>
      <c r="W5" s="16">
        <v>1240</v>
      </c>
      <c r="X5" s="16">
        <v>1040</v>
      </c>
      <c r="Y5" s="16">
        <v>1040</v>
      </c>
      <c r="Z5" s="16">
        <v>1040</v>
      </c>
      <c r="AA5" s="16">
        <v>1040</v>
      </c>
      <c r="AB5" s="16">
        <v>1040</v>
      </c>
      <c r="AC5" s="25"/>
      <c r="AD5" s="16">
        <v>1040</v>
      </c>
      <c r="AE5" s="16">
        <v>1040</v>
      </c>
      <c r="AF5" s="51">
        <v>1040</v>
      </c>
      <c r="AG5" s="16">
        <v>1040</v>
      </c>
      <c r="AH5" s="16">
        <v>1040</v>
      </c>
      <c r="AI5" s="16">
        <v>1040</v>
      </c>
      <c r="AJ5" s="25"/>
      <c r="AK5" s="16">
        <v>1040</v>
      </c>
      <c r="AL5" s="60"/>
      <c r="AM5" s="17">
        <f>+SUM(B5:AL5)</f>
        <v>26600</v>
      </c>
    </row>
    <row r="6" spans="1:42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8">
        <v>9.5</v>
      </c>
      <c r="J6" s="18">
        <v>11</v>
      </c>
      <c r="K6" s="18">
        <v>9.5</v>
      </c>
      <c r="L6" s="18">
        <v>11</v>
      </c>
      <c r="M6" s="18">
        <v>9.5</v>
      </c>
      <c r="N6" s="18">
        <v>9.5</v>
      </c>
      <c r="O6" s="25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8">
        <v>8</v>
      </c>
      <c r="X6" s="18">
        <v>8</v>
      </c>
      <c r="Y6" s="18">
        <v>8</v>
      </c>
      <c r="Z6" s="18">
        <v>8</v>
      </c>
      <c r="AA6" s="18">
        <v>8</v>
      </c>
      <c r="AB6" s="18">
        <v>8</v>
      </c>
      <c r="AC6" s="25"/>
      <c r="AD6" s="18">
        <v>8</v>
      </c>
      <c r="AE6" s="18">
        <v>8</v>
      </c>
      <c r="AF6" s="18">
        <v>8</v>
      </c>
      <c r="AG6" s="18">
        <v>8</v>
      </c>
      <c r="AH6" s="18">
        <v>8</v>
      </c>
      <c r="AI6" s="18">
        <v>8</v>
      </c>
      <c r="AJ6" s="25"/>
      <c r="AK6" s="18">
        <v>8</v>
      </c>
      <c r="AL6" s="130"/>
    </row>
    <row r="7" spans="1:42" s="17" customFormat="1" ht="16.5" customHeight="1">
      <c r="A7" s="2" t="s">
        <v>19</v>
      </c>
      <c r="B7" s="41"/>
      <c r="C7" s="41"/>
      <c r="D7" s="41"/>
      <c r="E7" s="41"/>
      <c r="F7" s="41"/>
      <c r="G7" s="75" t="s">
        <v>1575</v>
      </c>
      <c r="H7" s="25"/>
      <c r="I7" s="41"/>
      <c r="J7" s="41"/>
      <c r="K7" s="41"/>
      <c r="L7" s="41"/>
      <c r="M7" s="41"/>
      <c r="N7" s="41"/>
      <c r="O7" s="25"/>
      <c r="P7" s="75" t="s">
        <v>512</v>
      </c>
      <c r="Q7" s="41"/>
      <c r="R7" s="75" t="s">
        <v>512</v>
      </c>
      <c r="S7" s="75" t="s">
        <v>512</v>
      </c>
      <c r="T7" s="41"/>
      <c r="U7" s="41"/>
      <c r="V7" s="25"/>
      <c r="W7" s="41"/>
      <c r="X7" s="41"/>
      <c r="Y7" s="41"/>
      <c r="Z7" s="41"/>
      <c r="AA7" s="41"/>
      <c r="AB7" s="41"/>
      <c r="AC7" s="25"/>
      <c r="AD7" s="41"/>
      <c r="AE7" s="41"/>
      <c r="AF7" s="41"/>
      <c r="AG7" s="41"/>
      <c r="AH7" s="41"/>
      <c r="AI7" s="41"/>
      <c r="AJ7" s="25"/>
      <c r="AK7" s="41"/>
      <c r="AL7" s="60"/>
    </row>
    <row r="8" spans="1:42" s="17" customFormat="1" ht="16.5" customHeight="1">
      <c r="A8" s="2" t="s">
        <v>20</v>
      </c>
      <c r="B8" s="20"/>
      <c r="C8" s="20"/>
      <c r="D8" s="20"/>
      <c r="E8" s="20"/>
      <c r="F8" s="82"/>
      <c r="G8" s="20"/>
      <c r="H8" s="25"/>
      <c r="I8" s="82"/>
      <c r="J8" s="82"/>
      <c r="K8" s="82"/>
      <c r="L8" s="82"/>
      <c r="M8" s="82"/>
      <c r="N8" s="82"/>
      <c r="O8" s="25"/>
      <c r="P8" s="82"/>
      <c r="Q8" s="82"/>
      <c r="R8" s="82">
        <v>0.9</v>
      </c>
      <c r="S8" s="82">
        <v>0.9</v>
      </c>
      <c r="T8" s="82"/>
      <c r="U8" s="20"/>
      <c r="V8" s="25"/>
      <c r="W8" s="20"/>
      <c r="X8" s="20"/>
      <c r="Y8" s="20"/>
      <c r="Z8" s="20"/>
      <c r="AA8" s="20"/>
      <c r="AB8" s="20"/>
      <c r="AC8" s="25"/>
      <c r="AD8" s="20"/>
      <c r="AE8" s="20"/>
      <c r="AF8" s="20"/>
      <c r="AG8" s="20"/>
      <c r="AH8" s="20"/>
      <c r="AI8" s="20"/>
      <c r="AJ8" s="25"/>
      <c r="AK8" s="20"/>
      <c r="AL8" s="60"/>
      <c r="AN8" s="11"/>
    </row>
    <row r="9" spans="1:42" s="11" customFormat="1" ht="14.25" customHeight="1">
      <c r="A9" s="229" t="s">
        <v>22</v>
      </c>
      <c r="B9" s="46"/>
      <c r="C9" s="49"/>
      <c r="D9" s="40"/>
      <c r="E9" s="40"/>
      <c r="F9" s="40"/>
      <c r="G9" s="204" t="s">
        <v>493</v>
      </c>
      <c r="H9" s="48"/>
      <c r="L9" s="40"/>
      <c r="M9" s="40"/>
      <c r="O9" s="48"/>
      <c r="Q9" s="40"/>
      <c r="R9" s="40"/>
      <c r="S9" s="55" t="s">
        <v>186</v>
      </c>
      <c r="U9" s="40"/>
      <c r="V9" s="48"/>
      <c r="X9" s="50"/>
      <c r="Z9" s="40"/>
      <c r="AC9" s="48"/>
      <c r="AD9" s="40"/>
      <c r="AE9" s="40"/>
      <c r="AF9" s="73" t="s">
        <v>493</v>
      </c>
      <c r="AG9" s="40"/>
      <c r="AH9" s="46"/>
      <c r="AI9" s="47"/>
      <c r="AJ9" s="48"/>
      <c r="AK9" s="62"/>
      <c r="AL9" s="61"/>
    </row>
    <row r="10" spans="1:42" s="11" customFormat="1" ht="14.25" customHeight="1">
      <c r="A10" s="230"/>
      <c r="B10" s="22"/>
      <c r="C10" s="22"/>
      <c r="D10" s="40"/>
      <c r="E10" s="40"/>
      <c r="F10" s="40"/>
      <c r="G10" s="171" t="s">
        <v>1380</v>
      </c>
      <c r="H10" s="48"/>
      <c r="I10" s="40"/>
      <c r="J10" s="40"/>
      <c r="K10" s="40"/>
      <c r="L10" s="40"/>
      <c r="M10" s="40"/>
      <c r="N10" s="40"/>
      <c r="O10" s="48"/>
      <c r="P10" s="40"/>
      <c r="Q10" s="40"/>
      <c r="R10" s="40"/>
      <c r="S10" s="22" t="s">
        <v>1067</v>
      </c>
      <c r="T10" s="40"/>
      <c r="U10" s="40"/>
      <c r="V10" s="48"/>
      <c r="W10" s="40"/>
      <c r="X10" s="40"/>
      <c r="Y10" s="40"/>
      <c r="Z10" s="40"/>
      <c r="AA10" s="40"/>
      <c r="AB10" s="40"/>
      <c r="AC10" s="48"/>
      <c r="AD10" s="40"/>
      <c r="AE10" s="40"/>
      <c r="AF10" s="53" t="s">
        <v>1098</v>
      </c>
      <c r="AG10" s="40"/>
      <c r="AH10" s="21"/>
      <c r="AI10" s="21"/>
      <c r="AJ10" s="48"/>
      <c r="AK10" s="58"/>
      <c r="AL10" s="61"/>
    </row>
    <row r="11" spans="1:42" s="11" customFormat="1" ht="14.25" customHeight="1">
      <c r="A11" s="230"/>
      <c r="B11" s="22"/>
      <c r="C11" s="22"/>
      <c r="D11" s="40"/>
      <c r="E11" s="40"/>
      <c r="F11" s="40"/>
      <c r="G11" s="171" t="s">
        <v>1381</v>
      </c>
      <c r="H11" s="48"/>
      <c r="I11" s="40"/>
      <c r="J11" s="40"/>
      <c r="K11" s="40"/>
      <c r="L11" s="40"/>
      <c r="M11" s="40"/>
      <c r="N11" s="40"/>
      <c r="O11" s="48"/>
      <c r="P11" s="40"/>
      <c r="Q11" s="40"/>
      <c r="R11" s="40"/>
      <c r="S11" s="22" t="s">
        <v>223</v>
      </c>
      <c r="T11" s="40"/>
      <c r="U11" s="40"/>
      <c r="V11" s="48"/>
      <c r="W11" s="40"/>
      <c r="X11" s="40"/>
      <c r="Y11" s="40"/>
      <c r="Z11" s="40"/>
      <c r="AA11" s="40"/>
      <c r="AB11" s="40"/>
      <c r="AC11" s="48"/>
      <c r="AD11" s="40"/>
      <c r="AE11" s="40"/>
      <c r="AF11" s="22" t="s">
        <v>508</v>
      </c>
      <c r="AG11" s="40"/>
      <c r="AH11" s="21"/>
      <c r="AI11" s="21"/>
      <c r="AJ11" s="48"/>
      <c r="AK11" s="58"/>
      <c r="AL11" s="61"/>
    </row>
    <row r="12" spans="1:42" s="11" customFormat="1" ht="14.25" customHeight="1">
      <c r="A12" s="230"/>
      <c r="B12" s="22"/>
      <c r="C12" s="55"/>
      <c r="D12" s="40"/>
      <c r="E12" s="40"/>
      <c r="F12" s="40"/>
      <c r="G12" s="171" t="s">
        <v>1382</v>
      </c>
      <c r="H12" s="48"/>
      <c r="I12" s="40"/>
      <c r="J12" s="40"/>
      <c r="K12" s="40"/>
      <c r="L12" s="40"/>
      <c r="M12" s="40"/>
      <c r="N12" s="40"/>
      <c r="O12" s="48"/>
      <c r="P12" s="40"/>
      <c r="Q12" s="40"/>
      <c r="R12" s="40"/>
      <c r="S12" s="22" t="s">
        <v>187</v>
      </c>
      <c r="T12" s="40"/>
      <c r="U12" s="40"/>
      <c r="V12" s="48"/>
      <c r="W12" s="40"/>
      <c r="X12" s="40"/>
      <c r="Y12" s="40"/>
      <c r="Z12" s="40"/>
      <c r="AA12" s="40"/>
      <c r="AB12" s="40"/>
      <c r="AC12" s="48"/>
      <c r="AD12" s="40"/>
      <c r="AE12" s="40"/>
      <c r="AF12" s="22" t="s">
        <v>509</v>
      </c>
      <c r="AG12" s="40"/>
      <c r="AH12" s="40"/>
      <c r="AI12" s="21"/>
      <c r="AJ12" s="48"/>
      <c r="AK12" s="58"/>
      <c r="AL12" s="61"/>
    </row>
    <row r="13" spans="1:42" s="11" customFormat="1" ht="14.25" customHeight="1">
      <c r="A13" s="230"/>
      <c r="B13" s="22"/>
      <c r="C13" s="22"/>
      <c r="D13" s="40"/>
      <c r="E13" s="40"/>
      <c r="F13" s="40"/>
      <c r="G13" s="171" t="s">
        <v>1383</v>
      </c>
      <c r="H13" s="48"/>
      <c r="I13" s="40"/>
      <c r="J13" s="40"/>
      <c r="K13" s="40"/>
      <c r="L13" s="214" t="s">
        <v>1365</v>
      </c>
      <c r="M13" s="40"/>
      <c r="O13" s="48"/>
      <c r="P13" s="40"/>
      <c r="Q13" s="40"/>
      <c r="R13" s="40"/>
      <c r="S13" s="22" t="s">
        <v>1172</v>
      </c>
      <c r="T13" s="40"/>
      <c r="U13" s="40"/>
      <c r="V13" s="48"/>
      <c r="W13" s="40"/>
      <c r="X13" s="40"/>
      <c r="Y13" s="40"/>
      <c r="Z13" s="40"/>
      <c r="AA13" s="40"/>
      <c r="AB13" s="40"/>
      <c r="AC13" s="48"/>
      <c r="AD13" s="40"/>
      <c r="AE13" s="40"/>
      <c r="AF13" s="22" t="s">
        <v>510</v>
      </c>
      <c r="AG13" s="40"/>
      <c r="AH13" s="21"/>
      <c r="AI13" s="21"/>
      <c r="AJ13" s="48"/>
      <c r="AK13" s="58"/>
      <c r="AL13" s="61"/>
    </row>
    <row r="14" spans="1:42" s="11" customFormat="1" ht="14.25" customHeight="1">
      <c r="A14" s="230"/>
      <c r="B14" s="22"/>
      <c r="C14" s="40"/>
      <c r="D14" s="40"/>
      <c r="E14" s="40"/>
      <c r="F14" s="40"/>
      <c r="G14" s="22" t="s">
        <v>499</v>
      </c>
      <c r="H14" s="48"/>
      <c r="I14" s="40"/>
      <c r="J14" s="40"/>
      <c r="K14" s="40"/>
      <c r="L14" s="40"/>
      <c r="M14" s="40"/>
      <c r="N14" s="40"/>
      <c r="O14" s="48"/>
      <c r="P14" s="40"/>
      <c r="Q14" s="40"/>
      <c r="R14" s="40"/>
      <c r="S14" s="55" t="s">
        <v>188</v>
      </c>
      <c r="T14" s="40"/>
      <c r="U14" s="40"/>
      <c r="V14" s="48"/>
      <c r="W14" s="40"/>
      <c r="X14" s="40"/>
      <c r="Y14" s="40"/>
      <c r="Z14" s="40"/>
      <c r="AA14" s="40"/>
      <c r="AB14" s="40"/>
      <c r="AC14" s="48"/>
      <c r="AD14" s="40"/>
      <c r="AE14" s="40"/>
      <c r="AF14" s="103" t="s">
        <v>1097</v>
      </c>
      <c r="AG14" s="40"/>
      <c r="AH14" s="21"/>
      <c r="AI14" s="21"/>
      <c r="AJ14" s="48"/>
      <c r="AK14" s="58"/>
      <c r="AL14" s="61"/>
      <c r="AP14" s="11">
        <f>110*9.5</f>
        <v>1045</v>
      </c>
    </row>
    <row r="15" spans="1:42" s="11" customFormat="1" ht="14.25" customHeight="1">
      <c r="A15" s="230"/>
      <c r="B15" s="22"/>
      <c r="C15" s="22"/>
      <c r="D15" s="40"/>
      <c r="E15" s="40"/>
      <c r="F15" s="40"/>
      <c r="G15" s="22" t="s">
        <v>494</v>
      </c>
      <c r="H15" s="48"/>
      <c r="I15" s="40"/>
      <c r="J15" s="40"/>
      <c r="K15" s="40"/>
      <c r="L15" s="40"/>
      <c r="M15" s="40"/>
      <c r="N15" s="40"/>
      <c r="O15" s="48"/>
      <c r="P15" s="40"/>
      <c r="Q15" s="40"/>
      <c r="R15" s="40"/>
      <c r="S15" s="22" t="s">
        <v>1068</v>
      </c>
      <c r="T15" s="40"/>
      <c r="U15" s="40"/>
      <c r="V15" s="48"/>
      <c r="W15" s="40"/>
      <c r="X15" s="40"/>
      <c r="Y15" s="40"/>
      <c r="Z15" s="40"/>
      <c r="AA15" s="40"/>
      <c r="AB15" s="40"/>
      <c r="AC15" s="48"/>
      <c r="AD15" s="40"/>
      <c r="AE15" s="40"/>
      <c r="AF15" s="73" t="s">
        <v>1100</v>
      </c>
      <c r="AG15" s="40"/>
      <c r="AH15" s="21"/>
      <c r="AI15" s="21"/>
      <c r="AJ15" s="48"/>
      <c r="AK15" s="58"/>
      <c r="AL15" s="61"/>
      <c r="AP15" s="11">
        <f>10850/1050</f>
        <v>10.333333333333334</v>
      </c>
    </row>
    <row r="16" spans="1:42" s="11" customFormat="1" ht="14.25" customHeight="1">
      <c r="A16" s="230"/>
      <c r="B16" s="22"/>
      <c r="C16" s="40"/>
      <c r="D16" s="40"/>
      <c r="E16" s="40"/>
      <c r="F16" s="40"/>
      <c r="G16" s="22" t="s">
        <v>495</v>
      </c>
      <c r="H16" s="48"/>
      <c r="I16" s="40"/>
      <c r="J16" s="40"/>
      <c r="K16" s="40"/>
      <c r="L16" s="40"/>
      <c r="M16" s="40"/>
      <c r="N16" s="40"/>
      <c r="O16" s="48"/>
      <c r="P16" s="40"/>
      <c r="Q16" s="40"/>
      <c r="R16" s="40"/>
      <c r="S16" s="22" t="s">
        <v>1069</v>
      </c>
      <c r="T16" s="40"/>
      <c r="U16" s="40"/>
      <c r="V16" s="48"/>
      <c r="W16" s="40"/>
      <c r="X16" s="40"/>
      <c r="Y16" s="40"/>
      <c r="Z16" s="40"/>
      <c r="AA16" s="40"/>
      <c r="AB16" s="40"/>
      <c r="AC16" s="48"/>
      <c r="AD16" s="40"/>
      <c r="AE16" s="40"/>
      <c r="AF16" s="22" t="s">
        <v>1105</v>
      </c>
      <c r="AG16" s="40"/>
      <c r="AH16" s="22"/>
      <c r="AI16" s="21"/>
      <c r="AJ16" s="48"/>
      <c r="AK16" s="58"/>
      <c r="AL16" s="61"/>
    </row>
    <row r="17" spans="1:41" s="11" customFormat="1" ht="14.25" customHeight="1">
      <c r="A17" s="230"/>
      <c r="B17" s="22"/>
      <c r="C17" s="40"/>
      <c r="D17" s="40"/>
      <c r="E17" s="40"/>
      <c r="F17" s="40"/>
      <c r="G17" s="22" t="s">
        <v>496</v>
      </c>
      <c r="H17" s="48"/>
      <c r="I17" s="40"/>
      <c r="J17" s="40"/>
      <c r="K17" s="40"/>
      <c r="L17" s="40"/>
      <c r="M17" s="40"/>
      <c r="N17" s="40"/>
      <c r="O17" s="48"/>
      <c r="P17" s="40"/>
      <c r="Q17" s="40"/>
      <c r="R17" s="40"/>
      <c r="S17" s="22" t="s">
        <v>189</v>
      </c>
      <c r="T17" s="40"/>
      <c r="U17" s="40"/>
      <c r="V17" s="48"/>
      <c r="W17" s="21"/>
      <c r="X17" s="40"/>
      <c r="Y17" s="40"/>
      <c r="Z17" s="40"/>
      <c r="AA17" s="40"/>
      <c r="AB17" s="40"/>
      <c r="AC17" s="48"/>
      <c r="AD17" s="40"/>
      <c r="AE17" s="40"/>
      <c r="AF17" s="22" t="s">
        <v>1101</v>
      </c>
      <c r="AG17" s="40"/>
      <c r="AH17" s="40"/>
      <c r="AI17" s="21"/>
      <c r="AJ17" s="48"/>
      <c r="AL17" s="61"/>
    </row>
    <row r="18" spans="1:41" s="11" customFormat="1" ht="14.25" customHeight="1">
      <c r="A18" s="230"/>
      <c r="B18" s="22"/>
      <c r="C18" s="40"/>
      <c r="D18" s="40"/>
      <c r="E18" s="40"/>
      <c r="F18" s="40"/>
      <c r="G18" s="22" t="s">
        <v>498</v>
      </c>
      <c r="H18" s="48"/>
      <c r="I18" s="40"/>
      <c r="J18" s="40"/>
      <c r="K18" s="40"/>
      <c r="L18" s="40"/>
      <c r="M18" s="40"/>
      <c r="N18" s="40"/>
      <c r="O18" s="48"/>
      <c r="P18" s="40"/>
      <c r="Q18" s="40"/>
      <c r="R18" s="40"/>
      <c r="S18" s="73" t="s">
        <v>502</v>
      </c>
      <c r="T18" s="40"/>
      <c r="U18" s="40"/>
      <c r="V18" s="48"/>
      <c r="W18" s="21"/>
      <c r="X18" s="40"/>
      <c r="Y18" s="40"/>
      <c r="Z18" s="40"/>
      <c r="AA18" s="40"/>
      <c r="AB18" s="40"/>
      <c r="AC18" s="48"/>
      <c r="AD18" s="40"/>
      <c r="AE18" s="40"/>
      <c r="AF18" s="22" t="s">
        <v>1102</v>
      </c>
      <c r="AG18" s="40"/>
      <c r="AH18" s="22"/>
      <c r="AI18" s="21"/>
      <c r="AJ18" s="48"/>
      <c r="AK18" s="58"/>
      <c r="AL18" s="61"/>
    </row>
    <row r="19" spans="1:41" s="11" customFormat="1" ht="14.25" customHeight="1">
      <c r="A19" s="230"/>
      <c r="B19" s="91"/>
      <c r="C19" s="40"/>
      <c r="D19" s="40"/>
      <c r="E19" s="40"/>
      <c r="F19" s="40"/>
      <c r="G19" s="22" t="s">
        <v>501</v>
      </c>
      <c r="H19" s="48"/>
      <c r="I19" s="40"/>
      <c r="J19" s="40"/>
      <c r="K19" s="40"/>
      <c r="L19" s="40"/>
      <c r="M19" s="40"/>
      <c r="N19" s="40"/>
      <c r="O19" s="48"/>
      <c r="P19" s="40"/>
      <c r="Q19" s="40"/>
      <c r="R19" s="40"/>
      <c r="S19" s="22" t="s">
        <v>503</v>
      </c>
      <c r="T19" s="40"/>
      <c r="U19" s="40"/>
      <c r="V19" s="48"/>
      <c r="W19" s="21"/>
      <c r="X19" s="40"/>
      <c r="Y19" s="40"/>
      <c r="Z19" s="40"/>
      <c r="AA19" s="40"/>
      <c r="AB19" s="40"/>
      <c r="AC19" s="48"/>
      <c r="AD19" s="40"/>
      <c r="AE19" s="40"/>
      <c r="AF19" s="22" t="s">
        <v>1103</v>
      </c>
      <c r="AG19" s="40"/>
      <c r="AH19" s="91"/>
      <c r="AI19" s="21"/>
      <c r="AJ19" s="48"/>
      <c r="AK19" s="156"/>
      <c r="AL19" s="61"/>
    </row>
    <row r="20" spans="1:41" s="11" customFormat="1" ht="14.25" customHeight="1">
      <c r="A20" s="230"/>
      <c r="B20" s="91"/>
      <c r="C20" s="40"/>
      <c r="D20" s="40"/>
      <c r="E20" s="40"/>
      <c r="F20" s="40"/>
      <c r="G20" s="22" t="s">
        <v>1070</v>
      </c>
      <c r="H20" s="48"/>
      <c r="I20" s="40"/>
      <c r="J20" s="40"/>
      <c r="K20" s="40"/>
      <c r="L20" s="40"/>
      <c r="M20" s="40"/>
      <c r="N20" s="40"/>
      <c r="O20" s="48"/>
      <c r="P20" s="40"/>
      <c r="Q20" s="40"/>
      <c r="R20" s="40"/>
      <c r="S20" s="22" t="s">
        <v>504</v>
      </c>
      <c r="T20" s="40"/>
      <c r="U20" s="40"/>
      <c r="V20" s="48"/>
      <c r="W20" s="21"/>
      <c r="X20" s="40"/>
      <c r="Y20" s="40"/>
      <c r="Z20" s="40"/>
      <c r="AA20" s="40"/>
      <c r="AB20" s="40"/>
      <c r="AC20" s="48"/>
      <c r="AD20" s="40"/>
      <c r="AE20" s="40"/>
      <c r="AF20" s="22" t="s">
        <v>1104</v>
      </c>
      <c r="AG20" s="40"/>
      <c r="AH20" s="91"/>
      <c r="AI20" s="40"/>
      <c r="AJ20" s="48"/>
      <c r="AL20" s="61"/>
    </row>
    <row r="21" spans="1:41" s="11" customFormat="1" ht="14.25" customHeight="1">
      <c r="A21" s="230"/>
      <c r="B21" s="91"/>
      <c r="C21" s="40"/>
      <c r="D21" s="40"/>
      <c r="E21" s="40"/>
      <c r="F21" s="40"/>
      <c r="G21" s="22" t="s">
        <v>507</v>
      </c>
      <c r="H21" s="48"/>
      <c r="I21" s="40"/>
      <c r="J21" s="40"/>
      <c r="K21" s="40"/>
      <c r="L21" s="40"/>
      <c r="M21" s="40"/>
      <c r="N21" s="40"/>
      <c r="O21" s="48"/>
      <c r="P21" s="40"/>
      <c r="Q21" s="40"/>
      <c r="R21" s="40"/>
      <c r="S21" s="73" t="s">
        <v>493</v>
      </c>
      <c r="T21" s="40"/>
      <c r="U21" s="40"/>
      <c r="V21" s="48"/>
      <c r="W21" s="21"/>
      <c r="X21" s="40"/>
      <c r="Y21" s="40"/>
      <c r="Z21" s="40"/>
      <c r="AA21" s="40"/>
      <c r="AB21" s="40"/>
      <c r="AC21" s="48"/>
      <c r="AD21" s="40"/>
      <c r="AE21" s="40"/>
      <c r="AF21" s="40"/>
      <c r="AG21" s="40"/>
      <c r="AH21" s="91"/>
      <c r="AI21" s="40"/>
      <c r="AJ21" s="231">
        <f>+SUM(B41:AL41)</f>
        <v>25621</v>
      </c>
      <c r="AK21" s="232"/>
      <c r="AL21" s="23" t="s">
        <v>1</v>
      </c>
    </row>
    <row r="22" spans="1:41" s="11" customFormat="1" ht="14.25" customHeight="1">
      <c r="A22" s="230"/>
      <c r="B22" s="91"/>
      <c r="C22" s="40"/>
      <c r="D22" s="40"/>
      <c r="E22" s="40"/>
      <c r="F22" s="40"/>
      <c r="G22" s="22" t="s">
        <v>497</v>
      </c>
      <c r="H22" s="48"/>
      <c r="I22" s="40"/>
      <c r="J22" s="40"/>
      <c r="K22" s="40"/>
      <c r="L22" s="40"/>
      <c r="M22" s="40"/>
      <c r="N22" s="40"/>
      <c r="O22" s="48"/>
      <c r="P22" s="40"/>
      <c r="Q22" s="40"/>
      <c r="R22" s="40"/>
      <c r="S22" s="22" t="s">
        <v>1074</v>
      </c>
      <c r="T22" s="40"/>
      <c r="U22" s="40"/>
      <c r="V22" s="48"/>
      <c r="W22" s="21"/>
      <c r="X22" s="40"/>
      <c r="Y22" s="40"/>
      <c r="Z22" s="40"/>
      <c r="AA22" s="40"/>
      <c r="AB22" s="40"/>
      <c r="AC22" s="48"/>
      <c r="AD22" s="40"/>
      <c r="AE22" s="40"/>
      <c r="AF22" s="40"/>
      <c r="AG22" s="40"/>
      <c r="AH22" s="91"/>
      <c r="AI22" s="40"/>
      <c r="AJ22" s="48"/>
      <c r="AK22" s="156"/>
      <c r="AL22" s="61"/>
    </row>
    <row r="23" spans="1:41" s="11" customFormat="1" ht="14.25" customHeight="1">
      <c r="A23" s="230"/>
      <c r="B23" s="91"/>
      <c r="C23" s="40"/>
      <c r="D23" s="40"/>
      <c r="E23" s="40"/>
      <c r="F23" s="40"/>
      <c r="G23" s="22" t="s">
        <v>500</v>
      </c>
      <c r="H23" s="48"/>
      <c r="I23" s="40"/>
      <c r="J23" s="40"/>
      <c r="K23" s="40"/>
      <c r="L23" s="40"/>
      <c r="M23" s="40"/>
      <c r="N23" s="40"/>
      <c r="O23" s="48"/>
      <c r="P23" s="40"/>
      <c r="Q23" s="40"/>
      <c r="R23" s="40"/>
      <c r="S23" s="22" t="s">
        <v>1075</v>
      </c>
      <c r="T23" s="40"/>
      <c r="U23" s="40"/>
      <c r="V23" s="48"/>
      <c r="W23" s="21"/>
      <c r="X23" s="40"/>
      <c r="Y23" s="40"/>
      <c r="Z23" s="40"/>
      <c r="AA23" s="40"/>
      <c r="AB23" s="40"/>
      <c r="AC23" s="48"/>
      <c r="AD23" s="40"/>
      <c r="AE23" s="40"/>
      <c r="AF23" s="40"/>
      <c r="AG23" s="40"/>
      <c r="AH23" s="91"/>
      <c r="AI23" s="40"/>
      <c r="AJ23" s="48"/>
      <c r="AK23" s="156"/>
      <c r="AL23" s="61"/>
    </row>
    <row r="24" spans="1:41" s="11" customFormat="1" ht="14.25" customHeight="1">
      <c r="A24" s="230"/>
      <c r="B24" s="91"/>
      <c r="C24" s="40"/>
      <c r="D24" s="40"/>
      <c r="E24" s="204"/>
      <c r="F24" s="40"/>
      <c r="G24" s="22" t="s">
        <v>506</v>
      </c>
      <c r="H24" s="48"/>
      <c r="I24" s="40"/>
      <c r="J24" s="40"/>
      <c r="K24" s="40"/>
      <c r="L24" s="40"/>
      <c r="M24" s="40"/>
      <c r="N24" s="40"/>
      <c r="O24" s="48"/>
      <c r="P24" s="40"/>
      <c r="Q24" s="40"/>
      <c r="R24" s="40"/>
      <c r="S24" s="22" t="s">
        <v>1076</v>
      </c>
      <c r="T24" s="40"/>
      <c r="U24" s="40"/>
      <c r="V24" s="48"/>
      <c r="W24" s="21"/>
      <c r="X24" s="40"/>
      <c r="Y24" s="40"/>
      <c r="Z24" s="40"/>
      <c r="AA24" s="40"/>
      <c r="AB24" s="40"/>
      <c r="AC24" s="48"/>
      <c r="AD24" s="40"/>
      <c r="AE24" s="40"/>
      <c r="AF24" s="40"/>
      <c r="AG24" s="40"/>
      <c r="AH24" s="91"/>
      <c r="AI24" s="40"/>
      <c r="AJ24" s="48"/>
      <c r="AK24" s="156"/>
      <c r="AL24" s="61"/>
    </row>
    <row r="25" spans="1:41" s="11" customFormat="1" ht="14.25" customHeight="1">
      <c r="A25" s="230"/>
      <c r="B25" s="91"/>
      <c r="C25" s="22"/>
      <c r="D25" s="40"/>
      <c r="E25" s="40"/>
      <c r="F25" s="40"/>
      <c r="G25" s="22" t="s">
        <v>511</v>
      </c>
      <c r="H25" s="48"/>
      <c r="I25" s="40"/>
      <c r="J25" s="40"/>
      <c r="K25" s="40"/>
      <c r="L25" s="40"/>
      <c r="M25" s="40"/>
      <c r="N25" s="40"/>
      <c r="O25" s="48"/>
      <c r="P25" s="40"/>
      <c r="Q25" s="40"/>
      <c r="R25" s="40"/>
      <c r="S25" s="22" t="s">
        <v>505</v>
      </c>
      <c r="T25" s="40"/>
      <c r="U25" s="40"/>
      <c r="V25" s="48"/>
      <c r="W25" s="21"/>
      <c r="X25" s="40"/>
      <c r="Y25" s="40"/>
      <c r="Z25" s="40"/>
      <c r="AA25" s="40"/>
      <c r="AB25" s="40"/>
      <c r="AC25" s="48"/>
      <c r="AD25" s="40"/>
      <c r="AE25" s="40"/>
      <c r="AF25" s="40"/>
      <c r="AG25" s="40"/>
      <c r="AH25" s="91"/>
      <c r="AI25" s="40"/>
      <c r="AJ25" s="48"/>
      <c r="AK25" s="156"/>
      <c r="AL25" s="61"/>
      <c r="AO25" s="72"/>
    </row>
    <row r="26" spans="1:41" s="11" customFormat="1" ht="14.25" customHeight="1">
      <c r="A26" s="230"/>
      <c r="B26" s="91"/>
      <c r="C26" s="22"/>
      <c r="D26" s="40"/>
      <c r="E26" s="40"/>
      <c r="F26" s="40"/>
      <c r="G26" s="22" t="s">
        <v>1071</v>
      </c>
      <c r="H26" s="48"/>
      <c r="I26" s="40"/>
      <c r="J26" s="40"/>
      <c r="K26" s="40"/>
      <c r="L26" s="40"/>
      <c r="M26" s="40"/>
      <c r="N26" s="40"/>
      <c r="O26" s="48"/>
      <c r="P26" s="40"/>
      <c r="Q26" s="40"/>
      <c r="R26" s="40"/>
      <c r="S26" s="22" t="s">
        <v>961</v>
      </c>
      <c r="T26" s="40"/>
      <c r="U26" s="40"/>
      <c r="V26" s="48"/>
      <c r="W26" s="21"/>
      <c r="X26" s="40"/>
      <c r="Y26" s="40"/>
      <c r="Z26" s="40"/>
      <c r="AA26" s="40"/>
      <c r="AB26" s="21"/>
      <c r="AC26" s="48"/>
      <c r="AD26" s="40"/>
      <c r="AE26" s="40"/>
      <c r="AF26" s="40"/>
      <c r="AG26" s="40"/>
      <c r="AH26" s="91"/>
      <c r="AI26" s="40"/>
      <c r="AJ26" s="48"/>
      <c r="AK26" s="156"/>
      <c r="AL26" s="61"/>
      <c r="AO26" s="72"/>
    </row>
    <row r="27" spans="1:41" s="11" customFormat="1" ht="14.25" customHeight="1">
      <c r="A27" s="230"/>
      <c r="B27" s="91"/>
      <c r="C27" s="22"/>
      <c r="D27" s="40"/>
      <c r="E27" s="40"/>
      <c r="F27" s="40"/>
      <c r="G27" s="22" t="s">
        <v>1072</v>
      </c>
      <c r="H27" s="48"/>
      <c r="I27" s="40"/>
      <c r="J27" s="40"/>
      <c r="K27" s="40"/>
      <c r="L27" s="40"/>
      <c r="M27" s="40"/>
      <c r="N27" s="40"/>
      <c r="O27" s="48"/>
      <c r="P27" s="40"/>
      <c r="Q27" s="40"/>
      <c r="R27" s="40"/>
      <c r="S27" s="22" t="s">
        <v>962</v>
      </c>
      <c r="T27" s="40"/>
      <c r="U27" s="40"/>
      <c r="V27" s="48"/>
      <c r="W27" s="21"/>
      <c r="X27" s="40"/>
      <c r="Y27" s="40"/>
      <c r="Z27" s="40"/>
      <c r="AA27" s="40"/>
      <c r="AB27" s="21"/>
      <c r="AC27" s="48"/>
      <c r="AD27" s="40"/>
      <c r="AE27" s="40"/>
      <c r="AF27" s="40"/>
      <c r="AG27" s="40"/>
      <c r="AH27" s="91"/>
      <c r="AI27" s="40"/>
      <c r="AJ27" s="48"/>
      <c r="AK27" s="156"/>
      <c r="AL27" s="61"/>
    </row>
    <row r="28" spans="1:41" s="11" customFormat="1" ht="14.25" customHeight="1">
      <c r="A28" s="230"/>
      <c r="B28" s="91"/>
      <c r="C28" s="22"/>
      <c r="D28" s="40"/>
      <c r="E28" s="40"/>
      <c r="F28" s="40"/>
      <c r="G28" s="22" t="s">
        <v>1073</v>
      </c>
      <c r="H28" s="48"/>
      <c r="I28" s="40"/>
      <c r="J28" s="40"/>
      <c r="K28" s="40"/>
      <c r="L28" s="40"/>
      <c r="M28" s="40"/>
      <c r="N28" s="40"/>
      <c r="O28" s="48"/>
      <c r="P28" s="40"/>
      <c r="Q28" s="40"/>
      <c r="R28" s="40"/>
      <c r="S28" s="22" t="s">
        <v>963</v>
      </c>
      <c r="T28" s="40"/>
      <c r="U28" s="40"/>
      <c r="V28" s="48"/>
      <c r="W28" s="21"/>
      <c r="X28" s="40"/>
      <c r="Y28" s="40"/>
      <c r="Z28" s="40"/>
      <c r="AA28" s="40"/>
      <c r="AB28" s="21"/>
      <c r="AC28" s="48"/>
      <c r="AD28" s="40"/>
      <c r="AE28" s="40"/>
      <c r="AF28" s="40"/>
      <c r="AG28" s="40"/>
      <c r="AH28" s="91"/>
      <c r="AI28" s="40"/>
      <c r="AJ28" s="48"/>
      <c r="AK28" s="156"/>
      <c r="AL28" s="61"/>
    </row>
    <row r="29" spans="1:41" s="11" customFormat="1" ht="14.25" customHeight="1">
      <c r="A29" s="230"/>
      <c r="B29" s="91"/>
      <c r="C29" s="22"/>
      <c r="D29" s="40"/>
      <c r="E29" s="40"/>
      <c r="F29" s="40"/>
      <c r="G29" s="73" t="s">
        <v>1298</v>
      </c>
      <c r="H29" s="48"/>
      <c r="I29" s="40"/>
      <c r="J29" s="40"/>
      <c r="K29" s="40"/>
      <c r="L29" s="40"/>
      <c r="M29" s="40"/>
      <c r="N29" s="40"/>
      <c r="O29" s="48"/>
      <c r="P29" s="40"/>
      <c r="Q29" s="40"/>
      <c r="R29" s="40"/>
      <c r="S29" s="22" t="s">
        <v>964</v>
      </c>
      <c r="T29" s="40"/>
      <c r="U29" s="40"/>
      <c r="V29" s="48"/>
      <c r="W29" s="21"/>
      <c r="X29" s="40"/>
      <c r="Y29" s="40"/>
      <c r="Z29" s="40"/>
      <c r="AA29" s="40"/>
      <c r="AB29" s="21"/>
      <c r="AC29" s="48"/>
      <c r="AD29" s="40"/>
      <c r="AE29" s="40"/>
      <c r="AF29" s="40"/>
      <c r="AG29" s="40"/>
      <c r="AH29" s="91"/>
      <c r="AI29" s="40"/>
      <c r="AJ29" s="48"/>
      <c r="AK29" s="156"/>
      <c r="AL29" s="61"/>
      <c r="AO29" s="72"/>
    </row>
    <row r="30" spans="1:41" s="11" customFormat="1" ht="14.25" customHeight="1">
      <c r="A30" s="230"/>
      <c r="B30" s="91"/>
      <c r="C30" s="40"/>
      <c r="D30" s="40"/>
      <c r="E30" s="40"/>
      <c r="F30" s="40"/>
      <c r="G30" s="171" t="s">
        <v>1346</v>
      </c>
      <c r="H30" s="48"/>
      <c r="I30" s="40"/>
      <c r="J30" s="40"/>
      <c r="K30" s="40"/>
      <c r="L30" s="40"/>
      <c r="M30" s="40"/>
      <c r="N30" s="40"/>
      <c r="O30" s="48"/>
      <c r="P30" s="40"/>
      <c r="Q30" s="40"/>
      <c r="R30" s="40"/>
      <c r="S30" s="22" t="s">
        <v>965</v>
      </c>
      <c r="T30" s="40"/>
      <c r="U30" s="40"/>
      <c r="V30" s="48"/>
      <c r="W30" s="21"/>
      <c r="X30" s="40"/>
      <c r="Y30" s="40"/>
      <c r="Z30" s="40"/>
      <c r="AA30" s="40"/>
      <c r="AB30" s="21"/>
      <c r="AC30" s="48"/>
      <c r="AD30" s="40"/>
      <c r="AE30" s="40"/>
      <c r="AF30" s="40"/>
      <c r="AG30" s="40"/>
      <c r="AH30" s="91"/>
      <c r="AI30" s="40"/>
      <c r="AJ30" s="48"/>
      <c r="AK30" s="156"/>
      <c r="AL30" s="61"/>
      <c r="AO30" s="72"/>
    </row>
    <row r="31" spans="1:41" s="11" customFormat="1" ht="14.25" customHeight="1">
      <c r="A31" s="230"/>
      <c r="B31" s="91"/>
      <c r="C31" s="40"/>
      <c r="D31" s="40"/>
      <c r="E31" s="40"/>
      <c r="F31" s="40"/>
      <c r="G31" s="201" t="s">
        <v>1355</v>
      </c>
      <c r="H31" s="48"/>
      <c r="I31" s="40"/>
      <c r="J31" s="40"/>
      <c r="K31" s="40"/>
      <c r="L31" s="40"/>
      <c r="M31" s="40"/>
      <c r="N31" s="40"/>
      <c r="O31" s="48"/>
      <c r="P31" s="40"/>
      <c r="Q31" s="40"/>
      <c r="R31" s="40"/>
      <c r="S31" s="22" t="s">
        <v>966</v>
      </c>
      <c r="T31" s="40"/>
      <c r="U31" s="40"/>
      <c r="V31" s="48"/>
      <c r="W31" s="21"/>
      <c r="X31" s="40"/>
      <c r="Y31" s="40"/>
      <c r="Z31" s="40"/>
      <c r="AA31" s="40"/>
      <c r="AB31" s="21"/>
      <c r="AC31" s="48"/>
      <c r="AD31" s="40"/>
      <c r="AE31" s="40"/>
      <c r="AF31" s="40"/>
      <c r="AG31" s="40"/>
      <c r="AH31" s="91"/>
      <c r="AI31" s="40"/>
      <c r="AJ31" s="48"/>
      <c r="AK31" s="156"/>
      <c r="AL31" s="61"/>
      <c r="AO31" s="72"/>
    </row>
    <row r="32" spans="1:41" s="11" customFormat="1" ht="14.25" customHeight="1">
      <c r="A32" s="230"/>
      <c r="B32" s="91"/>
      <c r="C32" s="22"/>
      <c r="D32" s="40"/>
      <c r="E32" s="40"/>
      <c r="F32" s="40"/>
      <c r="G32" s="213" t="s">
        <v>1384</v>
      </c>
      <c r="H32" s="48"/>
      <c r="I32" s="40"/>
      <c r="J32" s="40"/>
      <c r="K32" s="40"/>
      <c r="L32" s="40"/>
      <c r="M32" s="40"/>
      <c r="N32" s="40"/>
      <c r="O32" s="48"/>
      <c r="P32" s="40"/>
      <c r="Q32" s="40"/>
      <c r="R32" s="40"/>
      <c r="S32" s="22" t="s">
        <v>967</v>
      </c>
      <c r="T32" s="40"/>
      <c r="U32" s="40"/>
      <c r="V32" s="48"/>
      <c r="W32" s="21"/>
      <c r="X32" s="40"/>
      <c r="Y32" s="40"/>
      <c r="Z32" s="40"/>
      <c r="AA32" s="40"/>
      <c r="AB32" s="21"/>
      <c r="AC32" s="48"/>
      <c r="AD32" s="40"/>
      <c r="AE32" s="40"/>
      <c r="AF32" s="40"/>
      <c r="AG32" s="40"/>
      <c r="AH32" s="91"/>
      <c r="AI32" s="40"/>
      <c r="AJ32" s="48"/>
      <c r="AK32" s="156"/>
      <c r="AL32" s="61"/>
      <c r="AO32" s="72"/>
    </row>
    <row r="33" spans="1:41" s="11" customFormat="1" ht="14.25" customHeight="1">
      <c r="A33" s="230"/>
      <c r="B33" s="91"/>
      <c r="C33" s="22"/>
      <c r="D33" s="40"/>
      <c r="E33" s="40"/>
      <c r="F33" s="40"/>
      <c r="G33" s="22" t="s">
        <v>489</v>
      </c>
      <c r="H33" s="48"/>
      <c r="I33" s="40"/>
      <c r="J33" s="40"/>
      <c r="K33" s="40"/>
      <c r="L33" s="40"/>
      <c r="M33" s="40"/>
      <c r="N33" s="40"/>
      <c r="O33" s="48"/>
      <c r="P33" s="40"/>
      <c r="Q33" s="40"/>
      <c r="R33" s="40"/>
      <c r="S33" s="22" t="s">
        <v>968</v>
      </c>
      <c r="T33" s="40"/>
      <c r="U33" s="40"/>
      <c r="V33" s="48"/>
      <c r="W33" s="21"/>
      <c r="X33" s="40"/>
      <c r="Y33" s="40"/>
      <c r="Z33" s="40"/>
      <c r="AA33" s="40"/>
      <c r="AB33" s="21"/>
      <c r="AC33" s="48"/>
      <c r="AD33" s="40"/>
      <c r="AE33" s="40"/>
      <c r="AF33" s="40"/>
      <c r="AG33" s="40"/>
      <c r="AH33" s="91"/>
      <c r="AI33" s="40"/>
      <c r="AJ33" s="48"/>
      <c r="AK33" s="156"/>
      <c r="AL33" s="61"/>
      <c r="AO33" s="72"/>
    </row>
    <row r="34" spans="1:41" s="11" customFormat="1" ht="14.25" customHeight="1">
      <c r="A34" s="230"/>
      <c r="B34" s="91"/>
      <c r="C34" s="22"/>
      <c r="D34" s="40"/>
      <c r="E34" s="40"/>
      <c r="F34" s="40"/>
      <c r="G34" s="22" t="s">
        <v>492</v>
      </c>
      <c r="H34" s="48"/>
      <c r="I34" s="40"/>
      <c r="J34" s="40"/>
      <c r="K34" s="40"/>
      <c r="L34" s="40"/>
      <c r="M34" s="40"/>
      <c r="N34" s="40"/>
      <c r="O34" s="48"/>
      <c r="P34" s="40"/>
      <c r="Q34" s="40"/>
      <c r="R34" s="40"/>
      <c r="S34" s="22" t="s">
        <v>969</v>
      </c>
      <c r="T34" s="40"/>
      <c r="U34" s="40"/>
      <c r="V34" s="48"/>
      <c r="W34" s="21"/>
      <c r="X34" s="40"/>
      <c r="Y34" s="40"/>
      <c r="Z34" s="40"/>
      <c r="AA34" s="40"/>
      <c r="AB34" s="21"/>
      <c r="AC34" s="48"/>
      <c r="AD34" s="40"/>
      <c r="AE34" s="40"/>
      <c r="AF34" s="40"/>
      <c r="AG34" s="40"/>
      <c r="AH34" s="91"/>
      <c r="AI34" s="40"/>
      <c r="AJ34" s="48"/>
      <c r="AK34" s="156"/>
      <c r="AL34" s="61"/>
      <c r="AO34" s="72"/>
    </row>
    <row r="35" spans="1:41" s="11" customFormat="1" ht="14.25" customHeight="1">
      <c r="A35" s="230"/>
      <c r="B35" s="91"/>
      <c r="C35" s="22"/>
      <c r="D35" s="40"/>
      <c r="E35" s="40"/>
      <c r="F35" s="40"/>
      <c r="G35" s="22" t="s">
        <v>490</v>
      </c>
      <c r="H35" s="48"/>
      <c r="I35" s="40"/>
      <c r="J35" s="40"/>
      <c r="K35" s="40"/>
      <c r="L35" s="40"/>
      <c r="M35" s="40"/>
      <c r="N35" s="22"/>
      <c r="O35" s="48"/>
      <c r="P35" s="40"/>
      <c r="Q35" s="40"/>
      <c r="R35" s="40"/>
      <c r="S35" s="22" t="s">
        <v>970</v>
      </c>
      <c r="T35" s="40"/>
      <c r="U35" s="40"/>
      <c r="V35" s="48"/>
      <c r="W35" s="21"/>
      <c r="X35" s="40"/>
      <c r="Y35" s="40"/>
      <c r="Z35" s="40"/>
      <c r="AA35" s="40"/>
      <c r="AB35" s="21"/>
      <c r="AC35" s="48"/>
      <c r="AD35" s="40"/>
      <c r="AE35" s="40"/>
      <c r="AF35" s="40"/>
      <c r="AG35" s="40"/>
      <c r="AH35" s="91"/>
      <c r="AI35" s="40"/>
      <c r="AJ35" s="48"/>
      <c r="AK35" s="156"/>
      <c r="AL35" s="61"/>
      <c r="AO35" s="72"/>
    </row>
    <row r="36" spans="1:41" s="11" customFormat="1" ht="14.25" customHeight="1">
      <c r="A36" s="230"/>
      <c r="B36" s="91"/>
      <c r="C36" s="22"/>
      <c r="D36" s="40"/>
      <c r="E36" s="40"/>
      <c r="F36" s="40"/>
      <c r="G36" s="22" t="s">
        <v>491</v>
      </c>
      <c r="H36" s="48"/>
      <c r="I36" s="40"/>
      <c r="J36" s="40"/>
      <c r="K36" s="40"/>
      <c r="L36" s="40"/>
      <c r="M36" s="40"/>
      <c r="N36" s="22"/>
      <c r="O36" s="48"/>
      <c r="P36" s="40"/>
      <c r="Q36" s="40"/>
      <c r="R36" s="40"/>
      <c r="S36" s="22"/>
      <c r="T36" s="40"/>
      <c r="U36" s="40"/>
      <c r="V36" s="48"/>
      <c r="W36" s="21"/>
      <c r="X36" s="40"/>
      <c r="Y36" s="40"/>
      <c r="Z36" s="40"/>
      <c r="AA36" s="40"/>
      <c r="AB36" s="21"/>
      <c r="AC36" s="48"/>
      <c r="AD36" s="40"/>
      <c r="AE36" s="40"/>
      <c r="AF36" s="40"/>
      <c r="AG36" s="40"/>
      <c r="AH36" s="91"/>
      <c r="AI36" s="40"/>
      <c r="AJ36" s="48"/>
      <c r="AK36" s="156"/>
      <c r="AL36" s="61"/>
      <c r="AO36" s="72"/>
    </row>
    <row r="37" spans="1:41" s="11" customFormat="1" ht="14.25" customHeight="1">
      <c r="A37" s="230"/>
      <c r="B37" s="91"/>
      <c r="C37" s="22"/>
      <c r="D37" s="40"/>
      <c r="E37" s="40"/>
      <c r="F37" s="40"/>
      <c r="G37" s="22" t="s">
        <v>1189</v>
      </c>
      <c r="H37" s="48"/>
      <c r="I37" s="40"/>
      <c r="J37" s="40"/>
      <c r="K37" s="40"/>
      <c r="L37" s="40"/>
      <c r="M37" s="40"/>
      <c r="N37" s="22"/>
      <c r="O37" s="48"/>
      <c r="P37" s="40"/>
      <c r="Q37" s="40"/>
      <c r="R37" s="40"/>
      <c r="S37" s="22"/>
      <c r="T37" s="40"/>
      <c r="U37" s="40"/>
      <c r="V37" s="48"/>
      <c r="W37" s="21"/>
      <c r="X37" s="40"/>
      <c r="Y37" s="40"/>
      <c r="Z37" s="40"/>
      <c r="AA37" s="40"/>
      <c r="AB37" s="21"/>
      <c r="AC37" s="48"/>
      <c r="AD37" s="40"/>
      <c r="AE37" s="40"/>
      <c r="AF37" s="40"/>
      <c r="AG37" s="40"/>
      <c r="AH37" s="91"/>
      <c r="AI37" s="40"/>
      <c r="AJ37" s="48"/>
      <c r="AK37" s="156"/>
      <c r="AL37" s="61"/>
      <c r="AO37" s="72"/>
    </row>
    <row r="38" spans="1:41" s="11" customFormat="1" ht="14.25" customHeight="1">
      <c r="A38" s="230"/>
      <c r="B38" s="91"/>
      <c r="C38" s="22"/>
      <c r="D38" s="40"/>
      <c r="E38" s="40"/>
      <c r="F38" s="40"/>
      <c r="G38" s="22" t="s">
        <v>1190</v>
      </c>
      <c r="H38" s="48"/>
      <c r="I38" s="40"/>
      <c r="J38" s="40"/>
      <c r="K38" s="40"/>
      <c r="L38" s="40"/>
      <c r="M38" s="40"/>
      <c r="N38" s="22"/>
      <c r="O38" s="48"/>
      <c r="P38" s="40"/>
      <c r="Q38" s="40"/>
      <c r="R38" s="22"/>
      <c r="S38" s="40"/>
      <c r="T38" s="21"/>
      <c r="U38" s="40"/>
      <c r="V38" s="48"/>
      <c r="W38" s="21"/>
      <c r="X38" s="40"/>
      <c r="Y38" s="40"/>
      <c r="Z38" s="40"/>
      <c r="AA38" s="40"/>
      <c r="AB38" s="21"/>
      <c r="AC38" s="48"/>
      <c r="AD38" s="40"/>
      <c r="AE38" s="40"/>
      <c r="AF38" s="40"/>
      <c r="AG38" s="40"/>
      <c r="AH38" s="91"/>
      <c r="AI38" s="40"/>
      <c r="AJ38" s="48"/>
      <c r="AK38" s="156"/>
      <c r="AL38" s="61"/>
      <c r="AO38" s="72"/>
    </row>
    <row r="39" spans="1:41" s="11" customFormat="1" ht="14.25" customHeight="1">
      <c r="A39" s="230"/>
      <c r="B39" s="91"/>
      <c r="C39" s="22"/>
      <c r="D39" s="40"/>
      <c r="E39" s="40"/>
      <c r="F39" s="40"/>
      <c r="G39" s="22" t="s">
        <v>1099</v>
      </c>
      <c r="H39" s="48"/>
      <c r="I39" s="40"/>
      <c r="J39" s="40"/>
      <c r="K39" s="40"/>
      <c r="L39" s="40"/>
      <c r="M39" s="40"/>
      <c r="N39" s="22"/>
      <c r="O39" s="48"/>
      <c r="P39" s="40"/>
      <c r="Q39" s="40"/>
      <c r="R39" s="22"/>
      <c r="S39" s="22"/>
      <c r="T39" s="40"/>
      <c r="U39" s="21"/>
      <c r="V39" s="48"/>
      <c r="W39" s="21"/>
      <c r="X39" s="40"/>
      <c r="Y39" s="40"/>
      <c r="Z39" s="40"/>
      <c r="AA39" s="40"/>
      <c r="AB39" s="21"/>
      <c r="AC39" s="48"/>
      <c r="AD39" s="40"/>
      <c r="AE39" s="40"/>
      <c r="AF39" s="40"/>
      <c r="AG39" s="40"/>
      <c r="AH39" s="91"/>
      <c r="AI39" s="40"/>
      <c r="AJ39" s="48"/>
      <c r="AK39" s="156"/>
      <c r="AL39" s="61"/>
      <c r="AO39" s="72"/>
    </row>
    <row r="40" spans="1:41" s="11" customFormat="1" ht="14.25" customHeight="1">
      <c r="A40" s="230"/>
      <c r="B40" s="91"/>
      <c r="C40" s="22"/>
      <c r="D40" s="40"/>
      <c r="E40" s="40"/>
      <c r="F40" s="40"/>
      <c r="G40" s="198" t="s">
        <v>1299</v>
      </c>
      <c r="H40" s="48"/>
      <c r="I40" s="40"/>
      <c r="J40" s="40"/>
      <c r="K40" s="40"/>
      <c r="L40" s="40"/>
      <c r="M40" s="40"/>
      <c r="N40" s="22"/>
      <c r="O40" s="48"/>
      <c r="P40" s="40"/>
      <c r="Q40" s="40"/>
      <c r="R40" s="22"/>
      <c r="S40" s="22"/>
      <c r="T40" s="40"/>
      <c r="U40" s="21"/>
      <c r="V40" s="48"/>
      <c r="W40" s="21"/>
      <c r="X40" s="40"/>
      <c r="Y40" s="40"/>
      <c r="Z40" s="40"/>
      <c r="AA40" s="40"/>
      <c r="AB40" s="21"/>
      <c r="AC40" s="48"/>
      <c r="AD40" s="40"/>
      <c r="AE40" s="40"/>
      <c r="AF40" s="40"/>
      <c r="AG40" s="40"/>
      <c r="AH40" s="91"/>
      <c r="AI40" s="40"/>
      <c r="AJ40" s="48"/>
      <c r="AK40" s="156"/>
      <c r="AL40" s="61"/>
      <c r="AO40" s="72"/>
    </row>
    <row r="41" spans="1:41" s="11" customFormat="1" ht="16.5" customHeight="1">
      <c r="A41" s="230"/>
      <c r="B41" s="24"/>
      <c r="C41" s="56"/>
      <c r="D41" s="24"/>
      <c r="E41" s="56"/>
      <c r="F41" s="24"/>
      <c r="G41" s="233">
        <f>785+336+137+210+732+396+184+10+471+640+300+1872+540+305+266+250+324+101+327+305+231+165+222+1000+147+19+272+35+29+19+24+24+30</f>
        <v>10708</v>
      </c>
      <c r="H41" s="234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233">
        <f>183+100+503+287+320+177+272+780+104+319+700+500+440+1872+400+570+205+367+319+1+321+344+240+789+240+364+100+364+355</f>
        <v>11536</v>
      </c>
      <c r="T41" s="234"/>
      <c r="U41" s="56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185">
        <f>1254+195+368+380+410+718+14+18+18+2</f>
        <v>3377</v>
      </c>
      <c r="AG41" s="56"/>
      <c r="AH41" s="56"/>
      <c r="AI41" s="56"/>
      <c r="AJ41" s="24"/>
      <c r="AK41" s="24"/>
      <c r="AL41" s="64"/>
    </row>
    <row r="42" spans="1:41" s="11" customFormat="1" ht="2.25" customHeight="1">
      <c r="A42" s="26"/>
      <c r="B42" s="27"/>
      <c r="C42" s="27"/>
      <c r="D42" s="27"/>
      <c r="E42" s="28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30"/>
    </row>
    <row r="43" spans="1:41" s="11" customFormat="1" ht="19.5" customHeight="1">
      <c r="A43" s="12" t="s">
        <v>0</v>
      </c>
      <c r="B43" s="16"/>
      <c r="C43" s="16"/>
      <c r="D43" s="16"/>
      <c r="E43" s="16"/>
      <c r="F43" s="16"/>
      <c r="G43" s="68">
        <v>290</v>
      </c>
      <c r="H43" s="25"/>
      <c r="I43" s="68">
        <v>410</v>
      </c>
      <c r="J43" s="68">
        <v>560</v>
      </c>
      <c r="K43" s="16">
        <v>660</v>
      </c>
      <c r="L43" s="16">
        <v>660</v>
      </c>
      <c r="M43" s="16">
        <v>660</v>
      </c>
      <c r="N43" s="16">
        <v>480</v>
      </c>
      <c r="O43" s="25"/>
      <c r="P43" s="68">
        <v>290</v>
      </c>
      <c r="Q43" s="68">
        <v>480</v>
      </c>
      <c r="R43" s="68">
        <v>560</v>
      </c>
      <c r="S43" s="51">
        <v>570</v>
      </c>
      <c r="T43" s="68">
        <v>960</v>
      </c>
      <c r="U43" s="68">
        <v>1010</v>
      </c>
      <c r="V43" s="25"/>
      <c r="W43" s="16">
        <v>1190</v>
      </c>
      <c r="X43" s="16">
        <v>1000</v>
      </c>
      <c r="Y43" s="16">
        <v>1000</v>
      </c>
      <c r="Z43" s="16">
        <v>1000</v>
      </c>
      <c r="AA43" s="16">
        <v>1000</v>
      </c>
      <c r="AB43" s="51">
        <v>1000</v>
      </c>
      <c r="AC43" s="25"/>
      <c r="AD43" s="16">
        <v>1080</v>
      </c>
      <c r="AE43" s="16">
        <v>1080</v>
      </c>
      <c r="AF43" s="16">
        <v>1080</v>
      </c>
      <c r="AG43" s="16">
        <v>1080</v>
      </c>
      <c r="AH43" s="51">
        <v>1080</v>
      </c>
      <c r="AI43" s="16">
        <v>1080</v>
      </c>
      <c r="AJ43" s="25"/>
      <c r="AK43" s="51"/>
      <c r="AL43" s="16"/>
      <c r="AM43" s="17">
        <f>+SUM(B43:AL43)</f>
        <v>20260</v>
      </c>
    </row>
    <row r="44" spans="1:41" s="17" customFormat="1" ht="19.5" customHeight="1">
      <c r="A44" s="12" t="s">
        <v>18</v>
      </c>
      <c r="B44" s="122">
        <v>11</v>
      </c>
      <c r="C44" s="122">
        <v>11</v>
      </c>
      <c r="D44" s="122">
        <v>11</v>
      </c>
      <c r="E44" s="122">
        <v>11</v>
      </c>
      <c r="F44" s="122">
        <v>8</v>
      </c>
      <c r="G44" s="122">
        <v>8</v>
      </c>
      <c r="H44" s="25"/>
      <c r="I44" s="18">
        <v>11</v>
      </c>
      <c r="J44" s="18">
        <v>11</v>
      </c>
      <c r="K44" s="18">
        <v>11</v>
      </c>
      <c r="L44" s="18">
        <v>11</v>
      </c>
      <c r="M44" s="18">
        <v>8</v>
      </c>
      <c r="N44" s="18">
        <v>8</v>
      </c>
      <c r="O44" s="25"/>
      <c r="P44" s="18">
        <v>9.5</v>
      </c>
      <c r="Q44" s="18">
        <v>11</v>
      </c>
      <c r="R44" s="18">
        <v>9.5</v>
      </c>
      <c r="S44" s="18">
        <v>11</v>
      </c>
      <c r="T44" s="18">
        <v>9.5</v>
      </c>
      <c r="U44" s="18">
        <v>9.5</v>
      </c>
      <c r="V44" s="25"/>
      <c r="W44" s="18">
        <v>8</v>
      </c>
      <c r="X44" s="18">
        <v>8</v>
      </c>
      <c r="Y44" s="18">
        <v>8</v>
      </c>
      <c r="Z44" s="18">
        <v>8</v>
      </c>
      <c r="AA44" s="18">
        <v>8</v>
      </c>
      <c r="AB44" s="18">
        <v>8</v>
      </c>
      <c r="AC44" s="25"/>
      <c r="AD44" s="18">
        <v>8</v>
      </c>
      <c r="AE44" s="18">
        <v>8</v>
      </c>
      <c r="AF44" s="18">
        <v>8</v>
      </c>
      <c r="AG44" s="18">
        <v>8</v>
      </c>
      <c r="AH44" s="18">
        <v>8</v>
      </c>
      <c r="AI44" s="18">
        <v>8</v>
      </c>
      <c r="AJ44" s="25"/>
      <c r="AK44" s="18"/>
      <c r="AL44" s="18"/>
    </row>
    <row r="45" spans="1:41" s="17" customFormat="1" ht="17.25" customHeight="1">
      <c r="A45" s="2" t="s">
        <v>19</v>
      </c>
      <c r="B45" s="41"/>
      <c r="C45" s="41"/>
      <c r="D45" s="41"/>
      <c r="E45" s="41"/>
      <c r="F45" s="41"/>
      <c r="G45" s="41" t="s">
        <v>768</v>
      </c>
      <c r="H45" s="25"/>
      <c r="I45" s="41"/>
      <c r="J45" s="41"/>
      <c r="K45" s="41"/>
      <c r="L45" s="41"/>
      <c r="M45" s="41"/>
      <c r="N45" s="41"/>
      <c r="O45" s="25"/>
      <c r="P45" s="41" t="s">
        <v>768</v>
      </c>
      <c r="Q45" s="41"/>
      <c r="R45" s="41"/>
      <c r="S45" s="41"/>
      <c r="T45" s="41" t="s">
        <v>218</v>
      </c>
      <c r="U45" s="41"/>
      <c r="V45" s="25"/>
      <c r="W45" s="41"/>
      <c r="X45" s="41"/>
      <c r="Y45" s="41"/>
      <c r="Z45" s="41"/>
      <c r="AA45" s="41"/>
      <c r="AB45" s="41"/>
      <c r="AC45" s="25"/>
      <c r="AD45" s="41" t="s">
        <v>1356</v>
      </c>
      <c r="AE45" s="41"/>
      <c r="AF45" s="41"/>
      <c r="AG45" s="41"/>
      <c r="AH45" s="41"/>
      <c r="AI45" s="41"/>
      <c r="AJ45" s="25"/>
      <c r="AK45" s="41"/>
      <c r="AL45" s="60"/>
    </row>
    <row r="46" spans="1:41" s="17" customFormat="1" ht="17.25" customHeight="1">
      <c r="A46" s="2" t="s">
        <v>20</v>
      </c>
      <c r="B46" s="20"/>
      <c r="C46" s="20"/>
      <c r="D46" s="20"/>
      <c r="E46" s="20"/>
      <c r="F46" s="20"/>
      <c r="G46" s="20">
        <v>0.6</v>
      </c>
      <c r="H46" s="25"/>
      <c r="I46" s="20">
        <v>0.85</v>
      </c>
      <c r="J46" s="20">
        <v>0.85</v>
      </c>
      <c r="K46" s="20"/>
      <c r="L46" s="20"/>
      <c r="M46" s="20"/>
      <c r="N46" s="20"/>
      <c r="O46" s="25"/>
      <c r="P46" s="20">
        <v>0.6</v>
      </c>
      <c r="Q46" s="20">
        <v>0.85</v>
      </c>
      <c r="R46" s="20">
        <v>0.85</v>
      </c>
      <c r="S46" s="20"/>
      <c r="T46" s="20">
        <v>0.7</v>
      </c>
      <c r="U46" s="20">
        <v>0.85</v>
      </c>
      <c r="V46" s="25"/>
      <c r="W46" s="20"/>
      <c r="X46" s="20"/>
      <c r="Y46" s="20"/>
      <c r="Z46" s="20"/>
      <c r="AA46" s="20"/>
      <c r="AB46" s="20"/>
      <c r="AC46" s="25"/>
      <c r="AD46" s="20"/>
      <c r="AE46" s="20"/>
      <c r="AF46" s="20"/>
      <c r="AG46" s="20"/>
      <c r="AH46" s="20"/>
      <c r="AI46" s="20"/>
      <c r="AJ46" s="25"/>
      <c r="AK46" s="20"/>
      <c r="AL46" s="60"/>
    </row>
    <row r="47" spans="1:41" s="11" customFormat="1" ht="16.5" customHeight="1">
      <c r="A47" s="229" t="s">
        <v>45</v>
      </c>
      <c r="B47" s="46"/>
      <c r="C47" s="49"/>
      <c r="D47" s="40"/>
      <c r="E47" s="47"/>
      <c r="F47" s="47"/>
      <c r="G47" s="52" t="s">
        <v>522</v>
      </c>
      <c r="H47" s="48"/>
      <c r="I47" s="40"/>
      <c r="J47" s="47"/>
      <c r="K47" s="40"/>
      <c r="L47" s="52"/>
      <c r="M47" s="40"/>
      <c r="N47" s="40"/>
      <c r="O47" s="48"/>
      <c r="P47" s="40"/>
      <c r="Q47" s="40"/>
      <c r="R47" s="40"/>
      <c r="T47" s="50" t="s">
        <v>400</v>
      </c>
      <c r="U47" s="40"/>
      <c r="V47" s="48"/>
      <c r="X47" s="40"/>
      <c r="Y47" s="40"/>
      <c r="Z47" s="40"/>
      <c r="AA47" s="40"/>
      <c r="AB47" s="40"/>
      <c r="AC47" s="48"/>
      <c r="AE47" s="40"/>
      <c r="AF47" s="40"/>
      <c r="AG47" s="40"/>
      <c r="AH47" s="50" t="s">
        <v>400</v>
      </c>
      <c r="AI47" s="47"/>
      <c r="AJ47" s="48"/>
      <c r="AK47" s="62"/>
      <c r="AL47" s="61"/>
    </row>
    <row r="48" spans="1:41" s="11" customFormat="1" ht="16.5" customHeight="1">
      <c r="A48" s="230"/>
      <c r="B48" s="22"/>
      <c r="C48" s="22"/>
      <c r="D48" s="40"/>
      <c r="E48" s="21"/>
      <c r="F48" s="21"/>
      <c r="G48" s="171" t="s">
        <v>1386</v>
      </c>
      <c r="H48" s="48"/>
      <c r="I48" s="40"/>
      <c r="J48" s="21"/>
      <c r="K48" s="40"/>
      <c r="L48" s="40"/>
      <c r="M48" s="40"/>
      <c r="N48" s="40"/>
      <c r="O48" s="48"/>
      <c r="P48" s="40"/>
      <c r="Q48" s="40"/>
      <c r="R48" s="40"/>
      <c r="S48" s="40"/>
      <c r="T48" s="22" t="s">
        <v>1039</v>
      </c>
      <c r="U48" s="40"/>
      <c r="V48" s="48"/>
      <c r="W48" s="40"/>
      <c r="X48" s="40"/>
      <c r="Y48" s="40"/>
      <c r="Z48" s="40"/>
      <c r="AA48" s="40"/>
      <c r="AB48" s="40"/>
      <c r="AC48" s="48"/>
      <c r="AD48" s="40"/>
      <c r="AE48" s="40"/>
      <c r="AF48" s="40"/>
      <c r="AG48" s="40"/>
      <c r="AH48" s="22" t="s">
        <v>1144</v>
      </c>
      <c r="AI48" s="21"/>
      <c r="AJ48" s="48"/>
      <c r="AK48" s="58"/>
      <c r="AL48" s="61"/>
    </row>
    <row r="49" spans="1:38" s="11" customFormat="1" ht="16.5" customHeight="1">
      <c r="A49" s="230"/>
      <c r="B49" s="22"/>
      <c r="C49" s="22"/>
      <c r="D49" s="40"/>
      <c r="E49" s="40"/>
      <c r="F49" s="21"/>
      <c r="G49" s="171" t="s">
        <v>1385</v>
      </c>
      <c r="H49" s="48"/>
      <c r="I49" s="40"/>
      <c r="J49" s="21"/>
      <c r="K49" s="40"/>
      <c r="L49" s="40"/>
      <c r="M49" s="40"/>
      <c r="N49" s="40"/>
      <c r="O49" s="48"/>
      <c r="P49" s="40"/>
      <c r="Q49" s="40"/>
      <c r="R49" s="40"/>
      <c r="S49" s="40"/>
      <c r="T49" s="22" t="s">
        <v>1042</v>
      </c>
      <c r="U49" s="40"/>
      <c r="V49" s="48"/>
      <c r="W49" s="40"/>
      <c r="X49" s="40"/>
      <c r="Y49" s="40"/>
      <c r="Z49" s="40"/>
      <c r="AA49" s="40"/>
      <c r="AB49" s="40"/>
      <c r="AC49" s="48"/>
      <c r="AD49" s="40"/>
      <c r="AE49" s="40"/>
      <c r="AF49" s="40"/>
      <c r="AG49" s="40"/>
      <c r="AH49" s="22" t="s">
        <v>1145</v>
      </c>
      <c r="AI49" s="21"/>
      <c r="AJ49" s="48"/>
      <c r="AK49" s="58"/>
      <c r="AL49" s="61"/>
    </row>
    <row r="50" spans="1:38" s="11" customFormat="1" ht="16.5" customHeight="1">
      <c r="A50" s="230"/>
      <c r="B50" s="22"/>
      <c r="C50" s="55"/>
      <c r="D50" s="40"/>
      <c r="E50" s="40"/>
      <c r="F50" s="21"/>
      <c r="G50" s="195" t="s">
        <v>1365</v>
      </c>
      <c r="H50" s="48"/>
      <c r="I50" s="40"/>
      <c r="J50" s="21"/>
      <c r="K50" s="40"/>
      <c r="L50" s="40"/>
      <c r="M50" s="40"/>
      <c r="N50" s="40"/>
      <c r="O50" s="48"/>
      <c r="P50" s="40"/>
      <c r="Q50" s="40"/>
      <c r="R50" s="40"/>
      <c r="S50" s="40"/>
      <c r="T50" s="22" t="s">
        <v>1043</v>
      </c>
      <c r="U50" s="40"/>
      <c r="V50" s="48"/>
      <c r="W50" s="40"/>
      <c r="X50" s="40"/>
      <c r="Y50" s="40"/>
      <c r="Z50" s="40"/>
      <c r="AA50" s="40"/>
      <c r="AB50" s="40"/>
      <c r="AC50" s="48"/>
      <c r="AD50" s="40"/>
      <c r="AE50" s="40"/>
      <c r="AF50" s="40"/>
      <c r="AG50" s="40"/>
      <c r="AH50" s="40"/>
      <c r="AI50" s="21"/>
      <c r="AJ50" s="48"/>
      <c r="AK50" s="58"/>
      <c r="AL50" s="61"/>
    </row>
    <row r="51" spans="1:38" s="11" customFormat="1" ht="16.5" customHeight="1">
      <c r="A51" s="230"/>
      <c r="B51" s="22"/>
      <c r="C51" s="22"/>
      <c r="D51" s="40"/>
      <c r="E51" s="40"/>
      <c r="F51" s="21"/>
      <c r="G51" s="22" t="s">
        <v>531</v>
      </c>
      <c r="H51" s="48"/>
      <c r="I51" s="40"/>
      <c r="J51" s="21"/>
      <c r="K51" s="40"/>
      <c r="L51" s="40"/>
      <c r="M51" s="40"/>
      <c r="N51" s="40"/>
      <c r="O51" s="48"/>
      <c r="P51" s="40"/>
      <c r="Q51" s="40"/>
      <c r="R51" s="40"/>
      <c r="S51" s="40"/>
      <c r="T51" s="22" t="s">
        <v>1237</v>
      </c>
      <c r="U51" s="40"/>
      <c r="V51" s="48"/>
      <c r="W51" s="40"/>
      <c r="X51" s="40"/>
      <c r="Y51" s="40"/>
      <c r="Z51" s="40"/>
      <c r="AA51" s="40"/>
      <c r="AB51" s="40"/>
      <c r="AC51" s="48"/>
      <c r="AD51" s="40"/>
      <c r="AE51" s="22"/>
      <c r="AF51" s="40"/>
      <c r="AG51" s="40"/>
      <c r="AH51" s="40"/>
      <c r="AI51" s="21"/>
      <c r="AJ51" s="48"/>
      <c r="AK51" s="58"/>
      <c r="AL51" s="61"/>
    </row>
    <row r="52" spans="1:38" s="11" customFormat="1" ht="16.5" customHeight="1">
      <c r="A52" s="230"/>
      <c r="B52" s="22"/>
      <c r="C52" s="22"/>
      <c r="D52" s="40"/>
      <c r="E52" s="40"/>
      <c r="F52" s="21"/>
      <c r="G52" s="22" t="s">
        <v>523</v>
      </c>
      <c r="H52" s="48"/>
      <c r="I52" s="40"/>
      <c r="J52" s="21"/>
      <c r="K52" s="40"/>
      <c r="L52" s="40"/>
      <c r="M52" s="40"/>
      <c r="N52" s="40"/>
      <c r="O52" s="48"/>
      <c r="P52" s="40"/>
      <c r="Q52" s="40"/>
      <c r="R52" s="40"/>
      <c r="S52" s="40"/>
      <c r="T52" s="22" t="s">
        <v>1239</v>
      </c>
      <c r="U52" s="40"/>
      <c r="V52" s="48"/>
      <c r="W52" s="40"/>
      <c r="X52" s="40"/>
      <c r="Y52" s="40"/>
      <c r="Z52" s="40"/>
      <c r="AA52" s="40"/>
      <c r="AB52" s="40"/>
      <c r="AC52" s="48"/>
      <c r="AD52" s="40"/>
      <c r="AE52" s="22"/>
      <c r="AF52" s="40"/>
      <c r="AG52" s="40"/>
      <c r="AH52" s="40"/>
      <c r="AI52" s="21"/>
      <c r="AJ52" s="48"/>
      <c r="AK52" s="58"/>
      <c r="AL52" s="61"/>
    </row>
    <row r="53" spans="1:38" s="11" customFormat="1" ht="16.5" customHeight="1">
      <c r="A53" s="230"/>
      <c r="B53" s="22"/>
      <c r="C53" s="22"/>
      <c r="D53" s="40"/>
      <c r="E53" s="203"/>
      <c r="F53" s="21"/>
      <c r="G53" s="22" t="s">
        <v>530</v>
      </c>
      <c r="H53" s="48"/>
      <c r="I53" s="40"/>
      <c r="J53" s="21"/>
      <c r="K53" s="40"/>
      <c r="L53" s="40"/>
      <c r="M53" s="40"/>
      <c r="N53" s="40"/>
      <c r="O53" s="48"/>
      <c r="P53" s="40"/>
      <c r="Q53" s="40"/>
      <c r="R53" s="40"/>
      <c r="S53" s="40"/>
      <c r="T53" s="166" t="s">
        <v>1613</v>
      </c>
      <c r="U53" s="40"/>
      <c r="V53" s="48"/>
      <c r="W53" s="40"/>
      <c r="X53" s="40"/>
      <c r="Y53" s="40"/>
      <c r="Z53" s="40"/>
      <c r="AA53" s="40"/>
      <c r="AB53" s="40"/>
      <c r="AC53" s="48"/>
      <c r="AD53" s="40"/>
      <c r="AE53" s="40"/>
      <c r="AF53" s="40"/>
      <c r="AG53" s="40"/>
      <c r="AH53" s="40"/>
      <c r="AI53" s="21"/>
      <c r="AJ53" s="48"/>
      <c r="AK53" s="58"/>
      <c r="AL53" s="61"/>
    </row>
    <row r="54" spans="1:38" s="11" customFormat="1" ht="16.5" customHeight="1">
      <c r="A54" s="230"/>
      <c r="B54" s="22"/>
      <c r="C54" s="22"/>
      <c r="D54" s="40"/>
      <c r="E54" s="21"/>
      <c r="F54" s="21"/>
      <c r="G54" s="22" t="s">
        <v>524</v>
      </c>
      <c r="H54" s="48"/>
      <c r="I54" s="40"/>
      <c r="J54" s="21"/>
      <c r="K54" s="40"/>
      <c r="L54" s="40"/>
      <c r="M54" s="40"/>
      <c r="N54" s="40"/>
      <c r="O54" s="48"/>
      <c r="P54" s="40"/>
      <c r="Q54" s="40"/>
      <c r="R54" s="40"/>
      <c r="S54" s="40"/>
      <c r="U54" s="40"/>
      <c r="V54" s="48"/>
      <c r="W54" s="40"/>
      <c r="X54" s="40"/>
      <c r="Y54" s="40"/>
      <c r="Z54" s="50"/>
      <c r="AA54" s="40"/>
      <c r="AC54" s="48"/>
      <c r="AD54" s="40"/>
      <c r="AE54" s="40"/>
      <c r="AF54" s="40"/>
      <c r="AG54" s="40"/>
      <c r="AH54" s="22"/>
      <c r="AI54" s="21"/>
      <c r="AJ54" s="48"/>
      <c r="AK54" s="58"/>
      <c r="AL54" s="61"/>
    </row>
    <row r="55" spans="1:38" s="11" customFormat="1" ht="16.5" customHeight="1">
      <c r="A55" s="230"/>
      <c r="B55" s="22"/>
      <c r="C55" s="22"/>
      <c r="D55" s="40"/>
      <c r="E55" s="21"/>
      <c r="F55" s="21"/>
      <c r="G55" s="52" t="s">
        <v>525</v>
      </c>
      <c r="H55" s="48"/>
      <c r="I55" s="40"/>
      <c r="J55" s="21"/>
      <c r="K55" s="40"/>
      <c r="L55" s="40"/>
      <c r="M55" s="40"/>
      <c r="N55" s="40"/>
      <c r="O55" s="48"/>
      <c r="P55" s="40"/>
      <c r="Q55" s="40"/>
      <c r="R55" s="40"/>
      <c r="S55" s="40"/>
      <c r="U55" s="40"/>
      <c r="V55" s="48"/>
      <c r="W55" s="40"/>
      <c r="X55" s="40"/>
      <c r="Y55" s="40"/>
      <c r="Z55" s="40"/>
      <c r="AA55" s="40"/>
      <c r="AB55" s="40"/>
      <c r="AC55" s="48"/>
      <c r="AD55" s="40"/>
      <c r="AE55" s="40"/>
      <c r="AF55" s="40"/>
      <c r="AG55" s="40"/>
      <c r="AH55" s="40"/>
      <c r="AI55" s="21"/>
      <c r="AJ55" s="240">
        <f>+SUM(B66:AL66)</f>
        <v>19341</v>
      </c>
      <c r="AK55" s="241"/>
      <c r="AL55" s="23" t="s">
        <v>1</v>
      </c>
    </row>
    <row r="56" spans="1:38" s="11" customFormat="1" ht="16.5" customHeight="1">
      <c r="A56" s="230"/>
      <c r="B56" s="22"/>
      <c r="C56" s="22"/>
      <c r="D56" s="40"/>
      <c r="E56" s="21"/>
      <c r="F56" s="21"/>
      <c r="G56" s="171" t="s">
        <v>532</v>
      </c>
      <c r="H56" s="48"/>
      <c r="I56" s="40"/>
      <c r="J56" s="21"/>
      <c r="K56" s="40"/>
      <c r="L56" s="40"/>
      <c r="M56" s="40"/>
      <c r="N56" s="40"/>
      <c r="O56" s="48"/>
      <c r="P56" s="40"/>
      <c r="Q56" s="40"/>
      <c r="R56" s="40"/>
      <c r="S56" s="40"/>
      <c r="T56" s="40"/>
      <c r="U56" s="40"/>
      <c r="V56" s="48"/>
      <c r="W56" s="40"/>
      <c r="X56" s="40"/>
      <c r="Y56" s="40"/>
      <c r="Z56" s="40"/>
      <c r="AA56" s="40"/>
      <c r="AB56" s="40"/>
      <c r="AC56" s="48"/>
      <c r="AD56" s="40"/>
      <c r="AE56" s="40"/>
      <c r="AF56" s="40"/>
      <c r="AG56" s="21"/>
      <c r="AH56" s="22"/>
      <c r="AI56" s="21"/>
      <c r="AJ56" s="48"/>
      <c r="AK56" s="58"/>
      <c r="AL56" s="61"/>
    </row>
    <row r="57" spans="1:38" s="11" customFormat="1" ht="16.5" customHeight="1">
      <c r="A57" s="230"/>
      <c r="B57" s="91"/>
      <c r="C57" s="22"/>
      <c r="D57" s="40"/>
      <c r="E57" s="21"/>
      <c r="F57" s="21"/>
      <c r="G57" s="171" t="s">
        <v>533</v>
      </c>
      <c r="H57" s="48"/>
      <c r="I57" s="40"/>
      <c r="J57" s="21"/>
      <c r="K57" s="40"/>
      <c r="L57" s="40"/>
      <c r="M57" s="40"/>
      <c r="N57" s="40"/>
      <c r="O57" s="48"/>
      <c r="P57" s="40"/>
      <c r="Q57" s="40"/>
      <c r="R57" s="40"/>
      <c r="S57" s="40"/>
      <c r="T57" s="40"/>
      <c r="U57" s="40"/>
      <c r="V57" s="48"/>
      <c r="W57" s="40"/>
      <c r="X57" s="40"/>
      <c r="Y57" s="40"/>
      <c r="Z57" s="40"/>
      <c r="AA57" s="40"/>
      <c r="AB57" s="40"/>
      <c r="AC57" s="48"/>
      <c r="AD57" s="40"/>
      <c r="AE57" s="40"/>
      <c r="AF57" s="40"/>
      <c r="AG57" s="21"/>
      <c r="AH57" s="91"/>
      <c r="AI57" s="21"/>
      <c r="AJ57" s="48"/>
      <c r="AK57" s="156"/>
      <c r="AL57" s="61"/>
    </row>
    <row r="58" spans="1:38" s="11" customFormat="1" ht="16.5" customHeight="1">
      <c r="A58" s="230"/>
      <c r="B58" s="91"/>
      <c r="C58" s="22"/>
      <c r="D58" s="40"/>
      <c r="E58" s="21"/>
      <c r="F58" s="21"/>
      <c r="G58" s="171" t="s">
        <v>534</v>
      </c>
      <c r="H58" s="48"/>
      <c r="I58" s="40"/>
      <c r="J58" s="21"/>
      <c r="K58" s="40"/>
      <c r="L58" s="40"/>
      <c r="M58" s="40"/>
      <c r="N58" s="40"/>
      <c r="O58" s="48"/>
      <c r="P58" s="40"/>
      <c r="Q58" s="40"/>
      <c r="R58" s="40"/>
      <c r="S58" s="40"/>
      <c r="T58" s="40"/>
      <c r="U58" s="40"/>
      <c r="V58" s="48"/>
      <c r="W58" s="40"/>
      <c r="X58" s="40"/>
      <c r="Y58" s="40"/>
      <c r="Z58" s="40"/>
      <c r="AA58" s="40"/>
      <c r="AB58" s="21"/>
      <c r="AC58" s="48"/>
      <c r="AD58" s="40"/>
      <c r="AE58" s="40"/>
      <c r="AF58" s="40"/>
      <c r="AG58" s="40"/>
      <c r="AH58" s="91"/>
      <c r="AI58" s="40"/>
      <c r="AJ58" s="48"/>
      <c r="AK58" s="156"/>
      <c r="AL58" s="61"/>
    </row>
    <row r="59" spans="1:38" s="11" customFormat="1" ht="16.5" customHeight="1">
      <c r="A59" s="230"/>
      <c r="B59" s="91"/>
      <c r="C59" s="22"/>
      <c r="D59" s="40"/>
      <c r="E59" s="21"/>
      <c r="F59" s="21"/>
      <c r="G59" s="171" t="s">
        <v>536</v>
      </c>
      <c r="H59" s="48"/>
      <c r="I59" s="40"/>
      <c r="J59" s="21"/>
      <c r="K59" s="40"/>
      <c r="L59" s="40"/>
      <c r="M59" s="40"/>
      <c r="N59" s="40"/>
      <c r="O59" s="48"/>
      <c r="P59" s="40"/>
      <c r="Q59" s="40"/>
      <c r="R59" s="40"/>
      <c r="S59" s="40"/>
      <c r="T59" s="40"/>
      <c r="U59" s="40"/>
      <c r="V59" s="48"/>
      <c r="W59" s="40"/>
      <c r="X59" s="40"/>
      <c r="Y59" s="40"/>
      <c r="Z59" s="40"/>
      <c r="AA59" s="40"/>
      <c r="AB59" s="21"/>
      <c r="AC59" s="48"/>
      <c r="AD59" s="40"/>
      <c r="AE59" s="40"/>
      <c r="AF59" s="40"/>
      <c r="AG59" s="40"/>
      <c r="AH59" s="91"/>
      <c r="AI59" s="40"/>
      <c r="AJ59" s="48"/>
      <c r="AK59" s="156"/>
      <c r="AL59" s="61"/>
    </row>
    <row r="60" spans="1:38" s="11" customFormat="1" ht="16.5" customHeight="1">
      <c r="A60" s="230"/>
      <c r="B60" s="91"/>
      <c r="C60" s="22"/>
      <c r="D60" s="40"/>
      <c r="E60" s="21"/>
      <c r="F60" s="21"/>
      <c r="G60" s="171" t="s">
        <v>535</v>
      </c>
      <c r="H60" s="48"/>
      <c r="I60" s="40"/>
      <c r="J60" s="21"/>
      <c r="K60" s="40"/>
      <c r="L60" s="40"/>
      <c r="M60" s="40"/>
      <c r="N60" s="40"/>
      <c r="O60" s="48"/>
      <c r="P60" s="40"/>
      <c r="Q60" s="40"/>
      <c r="R60" s="40"/>
      <c r="S60" s="40"/>
      <c r="T60" s="40"/>
      <c r="U60" s="40"/>
      <c r="V60" s="48"/>
      <c r="W60" s="40"/>
      <c r="X60" s="40"/>
      <c r="Y60" s="40"/>
      <c r="Z60" s="40"/>
      <c r="AA60" s="40"/>
      <c r="AB60" s="21"/>
      <c r="AC60" s="48"/>
      <c r="AD60" s="40"/>
      <c r="AE60" s="40"/>
      <c r="AF60" s="40"/>
      <c r="AG60" s="40"/>
      <c r="AH60" s="91"/>
      <c r="AI60" s="40"/>
      <c r="AJ60" s="48"/>
      <c r="AK60" s="156"/>
      <c r="AL60" s="61"/>
    </row>
    <row r="61" spans="1:38" s="11" customFormat="1" ht="16.5" customHeight="1">
      <c r="A61" s="230"/>
      <c r="B61" s="91"/>
      <c r="C61" s="22"/>
      <c r="D61" s="40"/>
      <c r="E61" s="21"/>
      <c r="F61" s="21"/>
      <c r="G61" s="171" t="s">
        <v>526</v>
      </c>
      <c r="H61" s="48"/>
      <c r="I61" s="40"/>
      <c r="J61" s="21"/>
      <c r="K61" s="40"/>
      <c r="L61" s="40"/>
      <c r="M61" s="40"/>
      <c r="N61" s="40"/>
      <c r="O61" s="48"/>
      <c r="P61" s="40"/>
      <c r="Q61" s="40"/>
      <c r="R61" s="40"/>
      <c r="S61" s="40"/>
      <c r="T61" s="40"/>
      <c r="U61" s="40"/>
      <c r="V61" s="48"/>
      <c r="W61" s="40"/>
      <c r="X61" s="40"/>
      <c r="Y61" s="40"/>
      <c r="Z61" s="40"/>
      <c r="AA61" s="40"/>
      <c r="AB61" s="21"/>
      <c r="AC61" s="48"/>
      <c r="AD61" s="40"/>
      <c r="AE61" s="40"/>
      <c r="AF61" s="40"/>
      <c r="AG61" s="40"/>
      <c r="AH61" s="91"/>
      <c r="AI61" s="40"/>
      <c r="AJ61" s="48"/>
      <c r="AK61" s="156"/>
      <c r="AL61" s="61"/>
    </row>
    <row r="62" spans="1:38" s="11" customFormat="1" ht="16.5" customHeight="1">
      <c r="A62" s="230"/>
      <c r="B62" s="91"/>
      <c r="C62" s="22"/>
      <c r="D62" s="40"/>
      <c r="E62" s="21"/>
      <c r="F62" s="21"/>
      <c r="G62" s="50" t="s">
        <v>518</v>
      </c>
      <c r="H62" s="48"/>
      <c r="I62" s="40"/>
      <c r="J62" s="21"/>
      <c r="K62" s="40"/>
      <c r="L62" s="40"/>
      <c r="M62" s="40"/>
      <c r="N62" s="40"/>
      <c r="O62" s="48"/>
      <c r="P62" s="40"/>
      <c r="Q62" s="40"/>
      <c r="R62" s="40"/>
      <c r="S62" s="40"/>
      <c r="T62" s="40"/>
      <c r="U62" s="40"/>
      <c r="V62" s="48"/>
      <c r="W62" s="21"/>
      <c r="X62" s="40"/>
      <c r="Y62" s="40"/>
      <c r="Z62" s="40"/>
      <c r="AA62" s="40"/>
      <c r="AB62" s="21"/>
      <c r="AC62" s="48"/>
      <c r="AD62" s="40"/>
      <c r="AE62" s="40"/>
      <c r="AF62" s="40"/>
      <c r="AG62" s="40"/>
      <c r="AH62" s="91"/>
      <c r="AI62" s="40"/>
      <c r="AJ62" s="48"/>
      <c r="AK62" s="156"/>
      <c r="AL62" s="61"/>
    </row>
    <row r="63" spans="1:38" s="11" customFormat="1" ht="16.5" customHeight="1">
      <c r="A63" s="230"/>
      <c r="B63" s="91"/>
      <c r="C63" s="22"/>
      <c r="D63" s="40"/>
      <c r="E63" s="21"/>
      <c r="F63" s="21"/>
      <c r="G63" s="22" t="s">
        <v>519</v>
      </c>
      <c r="H63" s="98"/>
      <c r="I63" s="40"/>
      <c r="J63" s="21"/>
      <c r="K63" s="40"/>
      <c r="L63" s="22"/>
      <c r="M63" s="40"/>
      <c r="N63" s="40"/>
      <c r="O63" s="48"/>
      <c r="P63" s="40"/>
      <c r="Q63" s="40"/>
      <c r="R63" s="40"/>
      <c r="S63" s="40"/>
      <c r="T63" s="40"/>
      <c r="U63" s="40"/>
      <c r="V63" s="48"/>
      <c r="W63" s="21"/>
      <c r="X63" s="40"/>
      <c r="Y63" s="40"/>
      <c r="Z63" s="40"/>
      <c r="AA63" s="40"/>
      <c r="AB63" s="21"/>
      <c r="AC63" s="48"/>
      <c r="AD63" s="40"/>
      <c r="AE63" s="40"/>
      <c r="AF63" s="40"/>
      <c r="AG63" s="40"/>
      <c r="AH63" s="91"/>
      <c r="AI63" s="40"/>
      <c r="AJ63" s="48"/>
      <c r="AK63" s="156"/>
      <c r="AL63" s="61"/>
    </row>
    <row r="64" spans="1:38" s="11" customFormat="1" ht="16.5" customHeight="1">
      <c r="A64" s="230"/>
      <c r="B64" s="91"/>
      <c r="C64" s="22"/>
      <c r="D64" s="40"/>
      <c r="E64" s="21"/>
      <c r="F64" s="21"/>
      <c r="G64" s="50" t="s">
        <v>520</v>
      </c>
      <c r="H64" s="98"/>
      <c r="I64" s="40"/>
      <c r="J64" s="21"/>
      <c r="K64" s="40"/>
      <c r="L64" s="22"/>
      <c r="M64" s="40"/>
      <c r="N64" s="40"/>
      <c r="O64" s="48"/>
      <c r="P64" s="40"/>
      <c r="Q64" s="40"/>
      <c r="R64" s="40"/>
      <c r="S64" s="40"/>
      <c r="T64" s="40"/>
      <c r="U64" s="40"/>
      <c r="V64" s="48"/>
      <c r="W64" s="21"/>
      <c r="X64" s="40"/>
      <c r="Y64" s="40"/>
      <c r="Z64" s="40"/>
      <c r="AA64" s="40"/>
      <c r="AB64" s="21"/>
      <c r="AC64" s="48"/>
      <c r="AD64" s="40"/>
      <c r="AE64" s="40"/>
      <c r="AF64" s="40"/>
      <c r="AG64" s="40"/>
      <c r="AH64" s="91"/>
      <c r="AI64" s="40"/>
      <c r="AJ64" s="48"/>
      <c r="AK64" s="156"/>
      <c r="AL64" s="61"/>
    </row>
    <row r="65" spans="1:39" s="11" customFormat="1" ht="16.5" customHeight="1">
      <c r="A65" s="230"/>
      <c r="B65" s="91"/>
      <c r="C65" s="22"/>
      <c r="D65" s="40"/>
      <c r="E65" s="21"/>
      <c r="F65" s="21"/>
      <c r="G65" s="22" t="s">
        <v>521</v>
      </c>
      <c r="H65" s="98"/>
      <c r="I65" s="40"/>
      <c r="J65" s="21"/>
      <c r="K65" s="40"/>
      <c r="L65" s="22"/>
      <c r="M65" s="40"/>
      <c r="N65" s="40"/>
      <c r="O65" s="48"/>
      <c r="P65" s="40"/>
      <c r="Q65" s="40"/>
      <c r="R65" s="40"/>
      <c r="S65" s="40"/>
      <c r="T65" s="40"/>
      <c r="U65" s="40"/>
      <c r="V65" s="48"/>
      <c r="W65" s="21"/>
      <c r="X65" s="40"/>
      <c r="Y65" s="40"/>
      <c r="Z65" s="40"/>
      <c r="AA65" s="40"/>
      <c r="AB65" s="21"/>
      <c r="AC65" s="48"/>
      <c r="AD65" s="40"/>
      <c r="AE65" s="40"/>
      <c r="AF65" s="40"/>
      <c r="AG65" s="40"/>
      <c r="AH65" s="91"/>
      <c r="AI65" s="40"/>
      <c r="AJ65" s="48"/>
      <c r="AK65" s="156"/>
      <c r="AL65" s="61"/>
    </row>
    <row r="66" spans="1:39" s="11" customFormat="1" ht="16.5" customHeight="1">
      <c r="A66" s="230"/>
      <c r="B66" s="24"/>
      <c r="C66" s="56"/>
      <c r="D66" s="24"/>
      <c r="E66" s="56"/>
      <c r="F66" s="24"/>
      <c r="G66" s="233">
        <f>630+394+610+558+837+1+368+500+160+19+1317+108+292</f>
        <v>5794</v>
      </c>
      <c r="H66" s="234"/>
      <c r="I66" s="24"/>
      <c r="J66" s="56"/>
      <c r="K66" s="24"/>
      <c r="L66" s="233"/>
      <c r="M66" s="234"/>
      <c r="N66" s="24"/>
      <c r="O66" s="24"/>
      <c r="P66" s="56"/>
      <c r="Q66" s="24"/>
      <c r="R66" s="56"/>
      <c r="S66" s="24"/>
      <c r="T66" s="233">
        <f>620+130+3852+6710+1611</f>
        <v>12923</v>
      </c>
      <c r="U66" s="234"/>
      <c r="V66" s="24"/>
      <c r="W66" s="24"/>
      <c r="X66" s="24"/>
      <c r="Y66" s="24"/>
      <c r="Z66" s="24"/>
      <c r="AA66" s="24"/>
      <c r="AB66" s="24"/>
      <c r="AC66" s="25"/>
      <c r="AD66" s="24"/>
      <c r="AE66" s="24"/>
      <c r="AF66" s="24"/>
      <c r="AG66" s="242">
        <f>380+244</f>
        <v>624</v>
      </c>
      <c r="AH66" s="243"/>
      <c r="AI66" s="24"/>
      <c r="AJ66" s="24"/>
      <c r="AK66" s="233"/>
      <c r="AL66" s="244"/>
    </row>
    <row r="67" spans="1:39" s="11" customFormat="1" ht="2.25" customHeight="1">
      <c r="A67" s="26"/>
      <c r="B67" s="27"/>
      <c r="C67" s="27"/>
      <c r="D67" s="27"/>
      <c r="E67" s="28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30"/>
    </row>
    <row r="68" spans="1:39" s="11" customFormat="1" ht="19.5" customHeight="1">
      <c r="A68" s="12" t="s">
        <v>0</v>
      </c>
      <c r="B68" s="16"/>
      <c r="C68" s="16"/>
      <c r="D68" s="16"/>
      <c r="E68" s="16"/>
      <c r="F68" s="16"/>
      <c r="G68" s="68">
        <v>1010</v>
      </c>
      <c r="H68" s="25"/>
      <c r="I68" s="68">
        <v>950</v>
      </c>
      <c r="J68" s="16">
        <v>1540</v>
      </c>
      <c r="K68" s="68">
        <v>1440</v>
      </c>
      <c r="L68" s="16">
        <v>1600</v>
      </c>
      <c r="M68" s="16">
        <v>1600</v>
      </c>
      <c r="N68" s="16">
        <v>1160</v>
      </c>
      <c r="O68" s="25"/>
      <c r="P68" s="16">
        <v>1160</v>
      </c>
      <c r="Q68" s="16">
        <v>1380</v>
      </c>
      <c r="R68" s="16">
        <v>1600</v>
      </c>
      <c r="S68" s="16">
        <v>1380</v>
      </c>
      <c r="T68" s="51">
        <v>1600</v>
      </c>
      <c r="U68" s="16">
        <v>1380</v>
      </c>
      <c r="V68" s="25"/>
      <c r="W68" s="68">
        <v>1110</v>
      </c>
      <c r="X68" s="68">
        <v>1200</v>
      </c>
      <c r="Y68" s="16">
        <v>1330</v>
      </c>
      <c r="Z68" s="68">
        <v>900</v>
      </c>
      <c r="AA68" s="68">
        <v>1090</v>
      </c>
      <c r="AB68" s="16">
        <v>1280</v>
      </c>
      <c r="AC68" s="25"/>
      <c r="AD68" s="16">
        <v>1280</v>
      </c>
      <c r="AE68" s="16">
        <v>1280</v>
      </c>
      <c r="AF68" s="16">
        <v>1280</v>
      </c>
      <c r="AG68" s="16">
        <v>1280</v>
      </c>
      <c r="AH68" s="51">
        <v>1280</v>
      </c>
      <c r="AI68" s="16"/>
      <c r="AJ68" s="25"/>
      <c r="AK68" s="16"/>
      <c r="AL68" s="60"/>
      <c r="AM68" s="17">
        <f>+SUM(B68:AL68)</f>
        <v>31110</v>
      </c>
    </row>
    <row r="69" spans="1:39" s="17" customFormat="1" ht="19.5" customHeight="1">
      <c r="A69" s="12" t="s">
        <v>18</v>
      </c>
      <c r="B69" s="122">
        <v>11</v>
      </c>
      <c r="C69" s="122">
        <v>11</v>
      </c>
      <c r="D69" s="122">
        <v>11</v>
      </c>
      <c r="E69" s="122">
        <v>11</v>
      </c>
      <c r="F69" s="122">
        <v>8</v>
      </c>
      <c r="G69" s="122">
        <v>8</v>
      </c>
      <c r="H69" s="25"/>
      <c r="I69" s="18">
        <v>11</v>
      </c>
      <c r="J69" s="18">
        <v>11</v>
      </c>
      <c r="K69" s="18">
        <v>11</v>
      </c>
      <c r="L69" s="18">
        <v>11</v>
      </c>
      <c r="M69" s="18">
        <v>8</v>
      </c>
      <c r="N69" s="18">
        <v>8</v>
      </c>
      <c r="O69" s="25"/>
      <c r="P69" s="18">
        <v>9.5</v>
      </c>
      <c r="Q69" s="18">
        <v>11</v>
      </c>
      <c r="R69" s="18">
        <v>9.5</v>
      </c>
      <c r="S69" s="18">
        <v>11</v>
      </c>
      <c r="T69" s="18">
        <v>9.5</v>
      </c>
      <c r="U69" s="18">
        <v>9.5</v>
      </c>
      <c r="V69" s="25"/>
      <c r="W69" s="192">
        <v>9.5</v>
      </c>
      <c r="X69" s="192">
        <v>9.5</v>
      </c>
      <c r="Y69" s="192">
        <v>9.5</v>
      </c>
      <c r="Z69" s="192">
        <v>9.5</v>
      </c>
      <c r="AA69" s="192">
        <v>9.5</v>
      </c>
      <c r="AB69" s="192">
        <v>9.5</v>
      </c>
      <c r="AC69" s="193"/>
      <c r="AD69" s="192">
        <v>9.5</v>
      </c>
      <c r="AE69" s="192">
        <v>9.5</v>
      </c>
      <c r="AF69" s="192">
        <v>9.5</v>
      </c>
      <c r="AG69" s="192">
        <v>9.5</v>
      </c>
      <c r="AH69" s="18">
        <v>8</v>
      </c>
      <c r="AI69" s="18"/>
      <c r="AJ69" s="25"/>
      <c r="AK69" s="18"/>
      <c r="AL69" s="18"/>
    </row>
    <row r="70" spans="1:39" s="17" customFormat="1" ht="17.25" customHeight="1">
      <c r="A70" s="2" t="s">
        <v>19</v>
      </c>
      <c r="B70" s="41"/>
      <c r="C70" s="41"/>
      <c r="D70" s="41"/>
      <c r="E70" s="75"/>
      <c r="F70" s="75"/>
      <c r="G70" s="75" t="s">
        <v>98</v>
      </c>
      <c r="H70" s="25"/>
      <c r="I70" s="75" t="s">
        <v>98</v>
      </c>
      <c r="J70" s="41"/>
      <c r="K70" s="75" t="s">
        <v>345</v>
      </c>
      <c r="L70" s="41"/>
      <c r="M70" s="41"/>
      <c r="N70" s="41"/>
      <c r="O70" s="25"/>
      <c r="P70" s="41"/>
      <c r="Q70" s="41"/>
      <c r="R70" s="41"/>
      <c r="S70" s="41"/>
      <c r="T70" s="41"/>
      <c r="U70" s="41"/>
      <c r="V70" s="25"/>
      <c r="W70" s="75" t="s">
        <v>323</v>
      </c>
      <c r="X70" s="75" t="s">
        <v>98</v>
      </c>
      <c r="Y70" s="41"/>
      <c r="Z70" s="75" t="s">
        <v>1356</v>
      </c>
      <c r="AA70" s="41"/>
      <c r="AB70" s="41"/>
      <c r="AC70" s="25"/>
      <c r="AD70" s="41"/>
      <c r="AE70" s="41"/>
      <c r="AF70" s="41"/>
      <c r="AG70" s="41"/>
      <c r="AH70" s="41"/>
      <c r="AI70" s="41"/>
      <c r="AJ70" s="25"/>
      <c r="AK70" s="41"/>
      <c r="AL70" s="60"/>
    </row>
    <row r="71" spans="1:39" s="17" customFormat="1" ht="17.25" customHeight="1">
      <c r="A71" s="2" t="s">
        <v>20</v>
      </c>
      <c r="B71" s="20"/>
      <c r="C71" s="20"/>
      <c r="D71" s="20"/>
      <c r="E71" s="20"/>
      <c r="F71" s="20"/>
      <c r="G71" s="20">
        <v>0.9</v>
      </c>
      <c r="H71" s="25"/>
      <c r="I71" s="82">
        <v>0.85</v>
      </c>
      <c r="J71" s="20"/>
      <c r="K71" s="82">
        <v>0.9</v>
      </c>
      <c r="L71" s="20"/>
      <c r="M71" s="20"/>
      <c r="N71" s="20"/>
      <c r="O71" s="25"/>
      <c r="P71" s="20"/>
      <c r="Q71" s="20"/>
      <c r="R71" s="20"/>
      <c r="S71" s="20"/>
      <c r="T71" s="20"/>
      <c r="U71" s="20"/>
      <c r="V71" s="25"/>
      <c r="W71" s="82">
        <v>0.9</v>
      </c>
      <c r="X71" s="82">
        <v>0.9</v>
      </c>
      <c r="Y71" s="20"/>
      <c r="Z71" s="82">
        <v>0.7</v>
      </c>
      <c r="AA71" s="20">
        <v>0.85</v>
      </c>
      <c r="AB71" s="20"/>
      <c r="AC71" s="25"/>
      <c r="AD71" s="20"/>
      <c r="AE71" s="20"/>
      <c r="AF71" s="20"/>
      <c r="AG71" s="20"/>
      <c r="AH71" s="20"/>
      <c r="AI71" s="20"/>
      <c r="AJ71" s="25"/>
      <c r="AK71" s="20"/>
      <c r="AL71" s="60"/>
    </row>
    <row r="72" spans="1:39" s="11" customFormat="1" ht="14.25" customHeight="1">
      <c r="A72" s="229" t="s">
        <v>50</v>
      </c>
      <c r="B72" s="46"/>
      <c r="C72" s="49"/>
      <c r="E72" s="40"/>
      <c r="G72" s="73" t="s">
        <v>181</v>
      </c>
      <c r="H72" s="48"/>
      <c r="K72" s="40"/>
      <c r="L72" s="40"/>
      <c r="M72" s="40"/>
      <c r="N72" s="47"/>
      <c r="O72" s="48"/>
      <c r="P72" s="40"/>
      <c r="Q72" s="40"/>
      <c r="R72" s="40"/>
      <c r="S72" s="40"/>
      <c r="T72" s="77" t="s">
        <v>329</v>
      </c>
      <c r="U72" s="40"/>
      <c r="V72" s="48"/>
      <c r="W72" s="40"/>
      <c r="X72" s="40"/>
      <c r="Y72" s="40"/>
      <c r="Z72" s="54" t="s">
        <v>788</v>
      </c>
      <c r="AA72" s="40"/>
      <c r="AC72" s="48"/>
      <c r="AD72" s="40"/>
      <c r="AE72" s="55"/>
      <c r="AF72" s="40"/>
      <c r="AG72" s="47"/>
      <c r="AH72" s="46"/>
      <c r="AI72" s="47"/>
      <c r="AJ72" s="48"/>
      <c r="AK72" s="62"/>
      <c r="AL72" s="61"/>
    </row>
    <row r="73" spans="1:39" s="11" customFormat="1" ht="14.25" customHeight="1">
      <c r="A73" s="230"/>
      <c r="B73" s="22"/>
      <c r="C73" s="22"/>
      <c r="D73" s="40"/>
      <c r="E73" s="40"/>
      <c r="F73" s="40"/>
      <c r="G73" s="22" t="s">
        <v>726</v>
      </c>
      <c r="H73" s="48"/>
      <c r="I73" s="40"/>
      <c r="J73" s="40"/>
      <c r="K73" s="40"/>
      <c r="L73" s="40"/>
      <c r="M73" s="40"/>
      <c r="N73" s="21"/>
      <c r="O73" s="48"/>
      <c r="P73" s="40"/>
      <c r="Q73" s="40"/>
      <c r="R73" s="40"/>
      <c r="S73" s="40"/>
      <c r="T73" s="22" t="s">
        <v>331</v>
      </c>
      <c r="U73" s="40"/>
      <c r="V73" s="48"/>
      <c r="W73" s="40"/>
      <c r="X73" s="40"/>
      <c r="Y73" s="40"/>
      <c r="Z73" s="171" t="s">
        <v>806</v>
      </c>
      <c r="AA73" s="40"/>
      <c r="AB73" s="40"/>
      <c r="AC73" s="48"/>
      <c r="AD73" s="40"/>
      <c r="AE73" s="22"/>
      <c r="AF73" s="40"/>
      <c r="AG73" s="21"/>
      <c r="AH73" s="21"/>
      <c r="AI73" s="21"/>
      <c r="AJ73" s="48"/>
      <c r="AK73" s="58"/>
      <c r="AL73" s="61"/>
    </row>
    <row r="74" spans="1:39" s="11" customFormat="1" ht="14.25" customHeight="1">
      <c r="A74" s="230"/>
      <c r="B74" s="22"/>
      <c r="C74" s="22"/>
      <c r="D74" s="40"/>
      <c r="E74" s="40"/>
      <c r="F74" s="40"/>
      <c r="G74" s="22" t="s">
        <v>727</v>
      </c>
      <c r="H74" s="48"/>
      <c r="I74" s="40"/>
      <c r="J74" s="40"/>
      <c r="K74" s="40"/>
      <c r="L74" s="40"/>
      <c r="M74" s="40"/>
      <c r="N74" s="21"/>
      <c r="O74" s="48"/>
      <c r="P74" s="40"/>
      <c r="Q74" s="40"/>
      <c r="R74" s="40"/>
      <c r="S74" s="40"/>
      <c r="T74" s="22" t="s">
        <v>332</v>
      </c>
      <c r="U74" s="40"/>
      <c r="V74" s="48"/>
      <c r="W74" s="40"/>
      <c r="X74" s="40"/>
      <c r="Y74" s="40"/>
      <c r="Z74" s="171" t="s">
        <v>807</v>
      </c>
      <c r="AA74" s="40"/>
      <c r="AB74" s="40"/>
      <c r="AC74" s="48"/>
      <c r="AD74" s="40"/>
      <c r="AE74" s="22"/>
      <c r="AF74" s="40"/>
      <c r="AG74" s="21"/>
      <c r="AH74" s="21"/>
      <c r="AI74" s="21"/>
      <c r="AJ74" s="48"/>
      <c r="AK74" s="58"/>
      <c r="AL74" s="61"/>
    </row>
    <row r="75" spans="1:39" s="11" customFormat="1" ht="14.25" customHeight="1">
      <c r="A75" s="230"/>
      <c r="B75" s="22"/>
      <c r="C75" s="55"/>
      <c r="D75" s="40"/>
      <c r="E75" s="40"/>
      <c r="F75" s="40"/>
      <c r="G75" s="22" t="s">
        <v>224</v>
      </c>
      <c r="H75" s="48"/>
      <c r="I75" s="40"/>
      <c r="J75" s="40"/>
      <c r="K75" s="40"/>
      <c r="L75" s="40"/>
      <c r="M75" s="40"/>
      <c r="N75" s="21"/>
      <c r="O75" s="48"/>
      <c r="P75" s="40"/>
      <c r="Q75" s="40"/>
      <c r="R75" s="40"/>
      <c r="S75" s="40"/>
      <c r="T75" s="22" t="s">
        <v>333</v>
      </c>
      <c r="U75" s="40"/>
      <c r="V75" s="48"/>
      <c r="W75" s="40"/>
      <c r="X75" s="40"/>
      <c r="Y75" s="40"/>
      <c r="Z75" s="171" t="s">
        <v>808</v>
      </c>
      <c r="AA75" s="40"/>
      <c r="AB75" s="40"/>
      <c r="AC75" s="48"/>
      <c r="AD75" s="40"/>
      <c r="AF75" s="40"/>
      <c r="AG75" s="21"/>
      <c r="AH75" s="21"/>
      <c r="AI75" s="21"/>
      <c r="AJ75" s="48"/>
      <c r="AK75" s="58"/>
      <c r="AL75" s="61"/>
    </row>
    <row r="76" spans="1:39" s="11" customFormat="1" ht="14.25" customHeight="1">
      <c r="A76" s="230"/>
      <c r="B76" s="22"/>
      <c r="C76" s="22"/>
      <c r="D76" s="40"/>
      <c r="E76" s="40"/>
      <c r="F76" s="40"/>
      <c r="G76" s="22" t="s">
        <v>724</v>
      </c>
      <c r="H76" s="48"/>
      <c r="I76" s="40"/>
      <c r="J76" s="40"/>
      <c r="K76" s="40"/>
      <c r="L76" s="40"/>
      <c r="M76" s="40"/>
      <c r="N76" s="21"/>
      <c r="O76" s="48"/>
      <c r="P76" s="40"/>
      <c r="Q76" s="40"/>
      <c r="R76" s="40"/>
      <c r="S76" s="40"/>
      <c r="T76" s="22" t="s">
        <v>334</v>
      </c>
      <c r="U76" s="40"/>
      <c r="V76" s="48"/>
      <c r="W76" s="40"/>
      <c r="X76" s="40"/>
      <c r="Y76" s="40"/>
      <c r="Z76" s="171" t="s">
        <v>814</v>
      </c>
      <c r="AA76" s="40"/>
      <c r="AB76" s="40"/>
      <c r="AC76" s="48"/>
      <c r="AD76" s="40"/>
      <c r="AE76" s="22"/>
      <c r="AF76" s="40"/>
      <c r="AG76" s="21"/>
      <c r="AH76" s="21"/>
      <c r="AI76" s="21"/>
      <c r="AJ76" s="48"/>
      <c r="AK76" s="58"/>
      <c r="AL76" s="61"/>
    </row>
    <row r="77" spans="1:39" s="11" customFormat="1" ht="14.25" customHeight="1">
      <c r="A77" s="230"/>
      <c r="B77" s="22"/>
      <c r="C77" s="22"/>
      <c r="D77" s="40"/>
      <c r="E77" s="40"/>
      <c r="F77" s="40"/>
      <c r="G77" s="22" t="s">
        <v>725</v>
      </c>
      <c r="H77" s="48"/>
      <c r="I77" s="40"/>
      <c r="J77" s="40"/>
      <c r="K77" s="40"/>
      <c r="L77" s="40"/>
      <c r="M77" s="40"/>
      <c r="N77" s="21"/>
      <c r="O77" s="48"/>
      <c r="P77" s="40"/>
      <c r="Q77" s="40"/>
      <c r="R77" s="40"/>
      <c r="S77" s="40"/>
      <c r="T77" s="22" t="s">
        <v>335</v>
      </c>
      <c r="U77" s="40"/>
      <c r="V77" s="48"/>
      <c r="W77" s="40"/>
      <c r="X77" s="40"/>
      <c r="Y77" s="40"/>
      <c r="Z77" s="171" t="s">
        <v>809</v>
      </c>
      <c r="AA77" s="40"/>
      <c r="AB77" s="40"/>
      <c r="AC77" s="48"/>
      <c r="AD77" s="40"/>
      <c r="AE77" s="40"/>
      <c r="AF77" s="40"/>
      <c r="AG77" s="21"/>
      <c r="AH77" s="21"/>
      <c r="AI77" s="21"/>
      <c r="AJ77" s="48"/>
      <c r="AK77" s="58"/>
      <c r="AL77" s="61"/>
    </row>
    <row r="78" spans="1:39" s="11" customFormat="1" ht="14.25" customHeight="1">
      <c r="A78" s="230"/>
      <c r="B78" s="22"/>
      <c r="C78" s="22"/>
      <c r="D78" s="40"/>
      <c r="E78" s="40"/>
      <c r="F78" s="40"/>
      <c r="G78" s="96" t="s">
        <v>1230</v>
      </c>
      <c r="H78" s="48"/>
      <c r="I78" s="40"/>
      <c r="J78" s="40"/>
      <c r="K78" s="40"/>
      <c r="L78" s="40"/>
      <c r="M78" s="40"/>
      <c r="N78" s="21"/>
      <c r="O78" s="48"/>
      <c r="P78" s="40"/>
      <c r="Q78" s="40"/>
      <c r="R78" s="40"/>
      <c r="S78" s="40"/>
      <c r="T78" s="78" t="s">
        <v>336</v>
      </c>
      <c r="U78" s="40"/>
      <c r="V78" s="48"/>
      <c r="W78" s="40"/>
      <c r="X78" s="40"/>
      <c r="Y78" s="40"/>
      <c r="Z78" s="171" t="s">
        <v>810</v>
      </c>
      <c r="AA78" s="40"/>
      <c r="AB78" s="40"/>
      <c r="AC78" s="48"/>
      <c r="AD78" s="40"/>
      <c r="AE78" s="40"/>
      <c r="AF78" s="40"/>
      <c r="AG78" s="21"/>
      <c r="AH78" s="21"/>
      <c r="AI78" s="21"/>
      <c r="AJ78" s="48"/>
      <c r="AK78" s="58"/>
      <c r="AL78" s="61"/>
    </row>
    <row r="79" spans="1:39" s="11" customFormat="1" ht="14.25" customHeight="1">
      <c r="A79" s="230"/>
      <c r="B79" s="22"/>
      <c r="C79" s="22"/>
      <c r="D79" s="40"/>
      <c r="E79" s="40"/>
      <c r="F79" s="40"/>
      <c r="G79" s="22" t="s">
        <v>1240</v>
      </c>
      <c r="H79" s="48"/>
      <c r="I79" s="40"/>
      <c r="J79" s="40"/>
      <c r="K79" s="40"/>
      <c r="L79" s="40"/>
      <c r="M79" s="40"/>
      <c r="N79" s="21"/>
      <c r="O79" s="48"/>
      <c r="P79" s="40"/>
      <c r="Q79" s="40"/>
      <c r="R79" s="40"/>
      <c r="S79" s="40"/>
      <c r="T79" s="22" t="s">
        <v>1004</v>
      </c>
      <c r="U79" s="40"/>
      <c r="V79" s="48"/>
      <c r="W79" s="40"/>
      <c r="X79" s="40"/>
      <c r="Y79" s="40"/>
      <c r="Z79" s="171" t="s">
        <v>811</v>
      </c>
      <c r="AA79" s="40"/>
      <c r="AB79" s="40"/>
      <c r="AC79" s="48"/>
      <c r="AD79" s="40"/>
      <c r="AE79" s="40"/>
      <c r="AF79" s="40"/>
      <c r="AG79" s="21"/>
      <c r="AH79" s="22"/>
      <c r="AI79" s="21"/>
      <c r="AJ79" s="48"/>
      <c r="AK79" s="58"/>
      <c r="AL79" s="61"/>
    </row>
    <row r="80" spans="1:39" s="11" customFormat="1" ht="14.25" customHeight="1">
      <c r="A80" s="230"/>
      <c r="B80" s="22"/>
      <c r="C80" s="22"/>
      <c r="D80" s="40"/>
      <c r="E80" s="40"/>
      <c r="F80" s="40"/>
      <c r="G80" s="49" t="s">
        <v>348</v>
      </c>
      <c r="H80" s="48"/>
      <c r="I80" s="40"/>
      <c r="J80" s="40"/>
      <c r="K80" s="40"/>
      <c r="L80" s="40"/>
      <c r="M80" s="40"/>
      <c r="N80" s="21"/>
      <c r="O80" s="48"/>
      <c r="P80" s="40"/>
      <c r="Q80" s="40"/>
      <c r="R80" s="40"/>
      <c r="S80" s="40"/>
      <c r="T80" s="73" t="s">
        <v>183</v>
      </c>
      <c r="U80" s="40"/>
      <c r="V80" s="48"/>
      <c r="W80" s="21"/>
      <c r="X80" s="40"/>
      <c r="Y80" s="40"/>
      <c r="Z80" s="171" t="s">
        <v>812</v>
      </c>
      <c r="AA80" s="40"/>
      <c r="AB80" s="40"/>
      <c r="AC80" s="48"/>
      <c r="AD80" s="40"/>
      <c r="AE80" s="40"/>
      <c r="AF80" s="40"/>
      <c r="AG80" s="21"/>
      <c r="AH80" s="40"/>
      <c r="AI80" s="21"/>
      <c r="AJ80" s="48"/>
      <c r="AL80" s="61"/>
    </row>
    <row r="81" spans="1:38" s="11" customFormat="1" ht="14.25" customHeight="1">
      <c r="A81" s="230"/>
      <c r="B81" s="22"/>
      <c r="C81" s="22"/>
      <c r="D81" s="40"/>
      <c r="E81" s="40"/>
      <c r="F81" s="40"/>
      <c r="G81" s="22" t="s">
        <v>1193</v>
      </c>
      <c r="H81" s="48"/>
      <c r="I81" s="40"/>
      <c r="J81" s="40"/>
      <c r="K81" s="40"/>
      <c r="L81" s="40"/>
      <c r="M81" s="40"/>
      <c r="N81" s="21"/>
      <c r="O81" s="48"/>
      <c r="P81" s="40"/>
      <c r="Q81" s="40"/>
      <c r="R81" s="40"/>
      <c r="S81" s="40"/>
      <c r="T81" s="22" t="s">
        <v>184</v>
      </c>
      <c r="U81" s="40"/>
      <c r="V81" s="48"/>
      <c r="W81" s="21"/>
      <c r="X81" s="40"/>
      <c r="Y81" s="40"/>
      <c r="Z81" s="171" t="s">
        <v>804</v>
      </c>
      <c r="AA81" s="40"/>
      <c r="AB81" s="40"/>
      <c r="AC81" s="48"/>
      <c r="AD81" s="40"/>
      <c r="AE81" s="40"/>
      <c r="AF81" s="40"/>
      <c r="AG81" s="21"/>
      <c r="AH81" s="22"/>
      <c r="AI81" s="21"/>
      <c r="AJ81" s="48"/>
      <c r="AK81" s="58"/>
      <c r="AL81" s="61"/>
    </row>
    <row r="82" spans="1:38" s="11" customFormat="1" ht="14.25" customHeight="1">
      <c r="A82" s="230"/>
      <c r="B82" s="91"/>
      <c r="C82" s="22"/>
      <c r="D82" s="40"/>
      <c r="E82" s="40"/>
      <c r="F82" s="40"/>
      <c r="G82" s="22" t="s">
        <v>350</v>
      </c>
      <c r="H82" s="48"/>
      <c r="I82" s="40"/>
      <c r="J82" s="40"/>
      <c r="K82" s="40"/>
      <c r="L82" s="40"/>
      <c r="M82" s="40"/>
      <c r="N82" s="21"/>
      <c r="O82" s="48"/>
      <c r="P82" s="40"/>
      <c r="Q82" s="40"/>
      <c r="R82" s="40"/>
      <c r="S82" s="40"/>
      <c r="T82" s="22" t="s">
        <v>185</v>
      </c>
      <c r="U82" s="40"/>
      <c r="V82" s="48"/>
      <c r="W82" s="21"/>
      <c r="X82" s="40"/>
      <c r="Y82" s="40"/>
      <c r="Z82" s="171" t="s">
        <v>805</v>
      </c>
      <c r="AA82" s="40"/>
      <c r="AB82" s="40"/>
      <c r="AC82" s="48"/>
      <c r="AD82" s="40"/>
      <c r="AE82" s="73"/>
      <c r="AF82" s="40"/>
      <c r="AG82" s="21"/>
      <c r="AH82" s="91"/>
      <c r="AI82" s="21"/>
      <c r="AJ82" s="231">
        <f>+SUM(B100:AL100)</f>
        <v>30917</v>
      </c>
      <c r="AK82" s="232"/>
      <c r="AL82" s="23" t="s">
        <v>1</v>
      </c>
    </row>
    <row r="83" spans="1:38" s="11" customFormat="1" ht="14.25" customHeight="1">
      <c r="A83" s="230"/>
      <c r="B83" s="91"/>
      <c r="C83" s="22"/>
      <c r="D83" s="40"/>
      <c r="E83" s="40"/>
      <c r="F83" s="40"/>
      <c r="G83" s="22" t="s">
        <v>1053</v>
      </c>
      <c r="H83" s="48"/>
      <c r="I83" s="40"/>
      <c r="J83" s="40"/>
      <c r="K83" s="40"/>
      <c r="L83" s="40"/>
      <c r="M83" s="40"/>
      <c r="N83" s="21"/>
      <c r="O83" s="48"/>
      <c r="P83" s="40"/>
      <c r="Q83" s="22"/>
      <c r="R83" s="40"/>
      <c r="S83" s="40"/>
      <c r="T83" s="73" t="s">
        <v>720</v>
      </c>
      <c r="U83" s="40"/>
      <c r="V83" s="48"/>
      <c r="W83" s="21"/>
      <c r="X83" s="40"/>
      <c r="Y83" s="40"/>
      <c r="Z83" s="171" t="s">
        <v>1634</v>
      </c>
      <c r="AA83" s="40"/>
      <c r="AB83" s="40"/>
      <c r="AC83" s="48"/>
      <c r="AD83" s="54"/>
      <c r="AE83" s="40"/>
      <c r="AF83" s="40"/>
      <c r="AG83" s="40"/>
      <c r="AH83" s="91"/>
      <c r="AI83" s="40"/>
      <c r="AJ83" s="48"/>
      <c r="AK83" s="156"/>
      <c r="AL83" s="61"/>
    </row>
    <row r="84" spans="1:38" s="11" customFormat="1" ht="14.25" customHeight="1">
      <c r="A84" s="230"/>
      <c r="B84" s="91"/>
      <c r="C84" s="22"/>
      <c r="D84" s="40"/>
      <c r="E84" s="40"/>
      <c r="F84" s="40"/>
      <c r="G84" s="22" t="s">
        <v>349</v>
      </c>
      <c r="H84" s="48"/>
      <c r="I84" s="40"/>
      <c r="J84" s="40"/>
      <c r="K84" s="40"/>
      <c r="L84" s="40"/>
      <c r="M84" s="40"/>
      <c r="N84" s="21"/>
      <c r="O84" s="48"/>
      <c r="P84" s="40"/>
      <c r="Q84" s="22"/>
      <c r="R84" s="40"/>
      <c r="S84" s="40"/>
      <c r="T84" s="22" t="s">
        <v>721</v>
      </c>
      <c r="U84" s="21"/>
      <c r="V84" s="48"/>
      <c r="W84" s="21"/>
      <c r="X84" s="40"/>
      <c r="Y84" s="40"/>
      <c r="Z84" s="40"/>
      <c r="AA84" s="40"/>
      <c r="AB84" s="40"/>
      <c r="AC84" s="48"/>
      <c r="AD84" s="40"/>
      <c r="AE84" s="40"/>
      <c r="AF84" s="40"/>
      <c r="AG84" s="40"/>
      <c r="AH84" s="91"/>
      <c r="AI84" s="40"/>
      <c r="AJ84" s="48"/>
      <c r="AK84" s="156"/>
      <c r="AL84" s="61"/>
    </row>
    <row r="85" spans="1:38" s="11" customFormat="1" ht="14.25" customHeight="1">
      <c r="A85" s="230"/>
      <c r="B85" s="91"/>
      <c r="C85" s="22"/>
      <c r="D85" s="40"/>
      <c r="E85" s="40"/>
      <c r="F85" s="40"/>
      <c r="G85" s="22" t="s">
        <v>351</v>
      </c>
      <c r="H85" s="48"/>
      <c r="I85" s="40"/>
      <c r="J85" s="40"/>
      <c r="K85" s="40"/>
      <c r="L85" s="40"/>
      <c r="M85" s="40"/>
      <c r="N85" s="21"/>
      <c r="O85" s="48"/>
      <c r="P85" s="40"/>
      <c r="Q85" s="22"/>
      <c r="R85" s="40"/>
      <c r="S85" s="40"/>
      <c r="T85" s="22" t="s">
        <v>722</v>
      </c>
      <c r="U85" s="21"/>
      <c r="V85" s="48"/>
      <c r="W85" s="21"/>
      <c r="X85" s="40"/>
      <c r="Y85" s="40"/>
      <c r="Z85" s="40"/>
      <c r="AA85" s="40"/>
      <c r="AB85" s="40"/>
      <c r="AC85" s="48"/>
      <c r="AD85" s="40"/>
      <c r="AE85" s="40"/>
      <c r="AF85" s="40"/>
      <c r="AG85" s="40"/>
      <c r="AH85" s="91"/>
      <c r="AI85" s="40"/>
      <c r="AJ85" s="48"/>
      <c r="AK85" s="156"/>
      <c r="AL85" s="61"/>
    </row>
    <row r="86" spans="1:38" s="11" customFormat="1" ht="14.25" customHeight="1">
      <c r="A86" s="230"/>
      <c r="B86" s="91"/>
      <c r="C86" s="22"/>
      <c r="D86" s="40"/>
      <c r="E86" s="40"/>
      <c r="F86" s="40"/>
      <c r="G86" s="22" t="s">
        <v>1052</v>
      </c>
      <c r="H86" s="48"/>
      <c r="I86" s="40"/>
      <c r="J86" s="40"/>
      <c r="K86" s="40"/>
      <c r="L86" s="40"/>
      <c r="M86" s="40"/>
      <c r="N86" s="21"/>
      <c r="O86" s="48"/>
      <c r="P86" s="40"/>
      <c r="Q86" s="22"/>
      <c r="R86" s="40"/>
      <c r="S86" s="40"/>
      <c r="T86" s="22" t="s">
        <v>723</v>
      </c>
      <c r="U86" s="21"/>
      <c r="V86" s="48"/>
      <c r="W86" s="21"/>
      <c r="X86" s="40"/>
      <c r="Y86" s="40"/>
      <c r="Z86" s="40"/>
      <c r="AA86" s="40"/>
      <c r="AB86" s="40"/>
      <c r="AC86" s="48"/>
      <c r="AD86" s="40"/>
      <c r="AE86" s="40"/>
      <c r="AF86" s="40"/>
      <c r="AG86" s="40"/>
      <c r="AH86" s="91"/>
      <c r="AI86" s="40"/>
      <c r="AJ86" s="48"/>
      <c r="AK86" s="156"/>
      <c r="AL86" s="61"/>
    </row>
    <row r="87" spans="1:38" s="11" customFormat="1" ht="14.25" customHeight="1">
      <c r="A87" s="230"/>
      <c r="B87" s="91"/>
      <c r="C87" s="22"/>
      <c r="D87" s="40"/>
      <c r="E87" s="40"/>
      <c r="F87" s="40"/>
      <c r="G87" s="78" t="s">
        <v>336</v>
      </c>
      <c r="H87" s="48"/>
      <c r="I87" s="40"/>
      <c r="J87" s="40"/>
      <c r="K87" s="40"/>
      <c r="L87" s="40"/>
      <c r="M87" s="40"/>
      <c r="N87" s="21"/>
      <c r="O87" s="48"/>
      <c r="P87" s="40"/>
      <c r="Q87" s="40"/>
      <c r="R87" s="40"/>
      <c r="S87" s="40"/>
      <c r="T87" s="73" t="s">
        <v>181</v>
      </c>
      <c r="U87" s="21"/>
      <c r="V87" s="48"/>
      <c r="W87" s="21"/>
      <c r="X87" s="40"/>
      <c r="Y87" s="40"/>
      <c r="Z87" s="40"/>
      <c r="AA87" s="40"/>
      <c r="AB87" s="40"/>
      <c r="AC87" s="48"/>
      <c r="AD87" s="40"/>
      <c r="AE87" s="40"/>
      <c r="AF87" s="40"/>
      <c r="AG87" s="40"/>
      <c r="AH87" s="91"/>
      <c r="AI87" s="40"/>
      <c r="AJ87" s="48"/>
      <c r="AK87" s="156"/>
      <c r="AL87" s="61"/>
    </row>
    <row r="88" spans="1:38" s="11" customFormat="1" ht="14.25" customHeight="1">
      <c r="A88" s="230"/>
      <c r="B88" s="91"/>
      <c r="C88" s="22"/>
      <c r="D88" s="40"/>
      <c r="E88" s="40"/>
      <c r="F88" s="40"/>
      <c r="G88" s="22" t="s">
        <v>1212</v>
      </c>
      <c r="H88" s="48"/>
      <c r="I88" s="21"/>
      <c r="J88" s="40"/>
      <c r="K88" s="40"/>
      <c r="L88" s="40"/>
      <c r="M88" s="40"/>
      <c r="N88" s="21"/>
      <c r="O88" s="48"/>
      <c r="P88" s="40"/>
      <c r="Q88" s="40"/>
      <c r="R88" s="40"/>
      <c r="S88" s="40"/>
      <c r="T88" s="22" t="s">
        <v>740</v>
      </c>
      <c r="U88" s="21"/>
      <c r="V88" s="48"/>
      <c r="W88" s="21"/>
      <c r="X88" s="40"/>
      <c r="Y88" s="40"/>
      <c r="Z88" s="40"/>
      <c r="AA88" s="40"/>
      <c r="AB88" s="40"/>
      <c r="AC88" s="48"/>
      <c r="AD88" s="40"/>
      <c r="AE88" s="40"/>
      <c r="AF88" s="40"/>
      <c r="AG88" s="40"/>
      <c r="AH88" s="91"/>
      <c r="AI88" s="40"/>
      <c r="AJ88" s="48"/>
      <c r="AK88" s="156"/>
      <c r="AL88" s="61"/>
    </row>
    <row r="89" spans="1:38" s="11" customFormat="1" ht="14.25" customHeight="1">
      <c r="A89" s="230"/>
      <c r="B89" s="91"/>
      <c r="C89" s="22"/>
      <c r="D89" s="40"/>
      <c r="E89" s="40"/>
      <c r="F89" s="40"/>
      <c r="G89" s="22" t="s">
        <v>1211</v>
      </c>
      <c r="H89" s="48"/>
      <c r="I89" s="21"/>
      <c r="J89" s="40"/>
      <c r="K89" s="40"/>
      <c r="L89" s="40"/>
      <c r="M89" s="40"/>
      <c r="N89" s="21"/>
      <c r="O89" s="48"/>
      <c r="P89" s="40"/>
      <c r="Q89" s="40"/>
      <c r="R89" s="40"/>
      <c r="S89" s="40"/>
      <c r="T89" s="22" t="s">
        <v>738</v>
      </c>
      <c r="U89" s="21"/>
      <c r="V89" s="48"/>
      <c r="W89" s="21"/>
      <c r="X89" s="40"/>
      <c r="Y89" s="40"/>
      <c r="Z89" s="40"/>
      <c r="AA89" s="40"/>
      <c r="AB89" s="40"/>
      <c r="AC89" s="48"/>
      <c r="AD89" s="40"/>
      <c r="AE89" s="40"/>
      <c r="AF89" s="40"/>
      <c r="AG89" s="40"/>
      <c r="AH89" s="91"/>
      <c r="AI89" s="40"/>
      <c r="AJ89" s="48"/>
      <c r="AK89" s="156"/>
      <c r="AL89" s="61"/>
    </row>
    <row r="90" spans="1:38" s="11" customFormat="1" ht="14.25" customHeight="1">
      <c r="A90" s="230"/>
      <c r="B90" s="91"/>
      <c r="C90" s="22"/>
      <c r="D90" s="40"/>
      <c r="E90" s="40"/>
      <c r="F90" s="40"/>
      <c r="G90" s="96" t="s">
        <v>943</v>
      </c>
      <c r="H90" s="48"/>
      <c r="I90" s="21"/>
      <c r="J90" s="40"/>
      <c r="K90" s="40"/>
      <c r="L90" s="40"/>
      <c r="M90" s="40"/>
      <c r="N90" s="21"/>
      <c r="O90" s="48"/>
      <c r="P90" s="40"/>
      <c r="Q90" s="40"/>
      <c r="R90" s="40"/>
      <c r="S90" s="40"/>
      <c r="T90" s="22" t="s">
        <v>182</v>
      </c>
      <c r="U90" s="21"/>
      <c r="V90" s="48"/>
      <c r="W90" s="21"/>
      <c r="X90" s="40"/>
      <c r="Y90" s="73"/>
      <c r="Z90" s="40"/>
      <c r="AA90" s="40"/>
      <c r="AB90" s="40"/>
      <c r="AC90" s="48"/>
      <c r="AD90" s="40"/>
      <c r="AE90" s="40"/>
      <c r="AF90" s="40"/>
      <c r="AG90" s="40"/>
      <c r="AH90" s="91"/>
      <c r="AI90" s="40"/>
      <c r="AJ90" s="48"/>
      <c r="AK90" s="156"/>
      <c r="AL90" s="61"/>
    </row>
    <row r="91" spans="1:38" s="11" customFormat="1" ht="14.25" customHeight="1">
      <c r="A91" s="230"/>
      <c r="B91" s="91"/>
      <c r="C91" s="22"/>
      <c r="D91" s="40"/>
      <c r="E91" s="40"/>
      <c r="F91" s="40"/>
      <c r="G91" s="76" t="s">
        <v>324</v>
      </c>
      <c r="H91" s="48"/>
      <c r="I91" s="21"/>
      <c r="J91" s="40"/>
      <c r="K91" s="40"/>
      <c r="L91" s="40"/>
      <c r="M91" s="40"/>
      <c r="N91" s="21"/>
      <c r="O91" s="48"/>
      <c r="P91" s="40"/>
      <c r="Q91" s="40"/>
      <c r="R91" s="40"/>
      <c r="S91" s="40"/>
      <c r="T91" s="22" t="s">
        <v>739</v>
      </c>
      <c r="U91" s="21"/>
      <c r="V91" s="48"/>
      <c r="W91" s="21"/>
      <c r="X91" s="40"/>
      <c r="Y91" s="40"/>
      <c r="Z91" s="40"/>
      <c r="AA91" s="40"/>
      <c r="AB91" s="21"/>
      <c r="AC91" s="48"/>
      <c r="AD91" s="40"/>
      <c r="AE91" s="40"/>
      <c r="AF91" s="40"/>
      <c r="AG91" s="40"/>
      <c r="AH91" s="91"/>
      <c r="AI91" s="40"/>
      <c r="AJ91" s="48"/>
      <c r="AK91" s="156"/>
      <c r="AL91" s="61"/>
    </row>
    <row r="92" spans="1:38" s="11" customFormat="1" ht="14.25" customHeight="1">
      <c r="A92" s="230"/>
      <c r="B92" s="91"/>
      <c r="C92" s="22"/>
      <c r="D92" s="40"/>
      <c r="E92" s="40"/>
      <c r="F92" s="40"/>
      <c r="G92" s="53" t="s">
        <v>1194</v>
      </c>
      <c r="H92" s="48"/>
      <c r="I92" s="21"/>
      <c r="J92" s="40"/>
      <c r="K92" s="40"/>
      <c r="L92" s="40"/>
      <c r="M92" s="40"/>
      <c r="N92" s="21"/>
      <c r="O92" s="48"/>
      <c r="P92" s="40"/>
      <c r="Q92" s="40"/>
      <c r="R92" s="40"/>
      <c r="S92" s="40"/>
      <c r="T92" s="40"/>
      <c r="U92" s="21"/>
      <c r="V92" s="48"/>
      <c r="W92" s="21"/>
      <c r="X92" s="40"/>
      <c r="Y92" s="40"/>
      <c r="Z92" s="40"/>
      <c r="AA92" s="40"/>
      <c r="AB92" s="21"/>
      <c r="AC92" s="48"/>
      <c r="AD92" s="40"/>
      <c r="AE92" s="40"/>
      <c r="AF92" s="40"/>
      <c r="AG92" s="40"/>
      <c r="AH92" s="91"/>
      <c r="AI92" s="40"/>
      <c r="AJ92" s="48"/>
      <c r="AK92" s="156"/>
      <c r="AL92" s="61"/>
    </row>
    <row r="93" spans="1:38" s="11" customFormat="1" ht="14.25" customHeight="1">
      <c r="A93" s="230"/>
      <c r="B93" s="91"/>
      <c r="C93" s="22"/>
      <c r="D93" s="40"/>
      <c r="E93" s="40"/>
      <c r="F93" s="40"/>
      <c r="G93" s="53" t="s">
        <v>326</v>
      </c>
      <c r="H93" s="48"/>
      <c r="I93" s="21"/>
      <c r="J93" s="40"/>
      <c r="K93" s="40"/>
      <c r="L93" s="40"/>
      <c r="M93" s="40"/>
      <c r="N93" s="21"/>
      <c r="O93" s="48"/>
      <c r="P93" s="40"/>
      <c r="Q93" s="40"/>
      <c r="R93" s="40"/>
      <c r="S93" s="40"/>
      <c r="T93" s="40"/>
      <c r="U93" s="21"/>
      <c r="V93" s="48"/>
      <c r="W93" s="21"/>
      <c r="X93" s="40"/>
      <c r="Y93" s="40"/>
      <c r="Z93" s="40"/>
      <c r="AA93" s="40"/>
      <c r="AB93" s="21"/>
      <c r="AC93" s="48"/>
      <c r="AD93" s="40"/>
      <c r="AE93" s="40"/>
      <c r="AF93" s="40"/>
      <c r="AG93" s="40"/>
      <c r="AH93" s="91"/>
      <c r="AI93" s="40"/>
      <c r="AJ93" s="48"/>
      <c r="AK93" s="156"/>
      <c r="AL93" s="61"/>
    </row>
    <row r="94" spans="1:38" s="11" customFormat="1" ht="14.25" customHeight="1">
      <c r="A94" s="230"/>
      <c r="B94" s="91"/>
      <c r="C94" s="22"/>
      <c r="D94" s="40"/>
      <c r="E94" s="40"/>
      <c r="F94" s="40"/>
      <c r="G94" s="53" t="s">
        <v>1195</v>
      </c>
      <c r="H94" s="48"/>
      <c r="I94" s="21"/>
      <c r="J94" s="40"/>
      <c r="K94" s="40"/>
      <c r="L94" s="40"/>
      <c r="M94" s="40"/>
      <c r="N94" s="21"/>
      <c r="O94" s="48"/>
      <c r="P94" s="40"/>
      <c r="Q94" s="40"/>
      <c r="R94" s="40"/>
      <c r="S94" s="40"/>
      <c r="T94" s="40"/>
      <c r="U94" s="21"/>
      <c r="V94" s="48"/>
      <c r="W94" s="21"/>
      <c r="X94" s="40"/>
      <c r="Y94" s="40"/>
      <c r="Z94" s="40"/>
      <c r="AA94" s="40"/>
      <c r="AB94" s="21"/>
      <c r="AC94" s="48"/>
      <c r="AD94" s="40"/>
      <c r="AE94" s="40"/>
      <c r="AF94" s="40"/>
      <c r="AG94" s="40"/>
      <c r="AH94" s="91"/>
      <c r="AI94" s="40"/>
      <c r="AJ94" s="48"/>
      <c r="AK94" s="156"/>
      <c r="AL94" s="61"/>
    </row>
    <row r="95" spans="1:38" s="11" customFormat="1" ht="14.25" customHeight="1">
      <c r="A95" s="230"/>
      <c r="B95" s="91"/>
      <c r="C95" s="22"/>
      <c r="D95" s="40"/>
      <c r="E95" s="40"/>
      <c r="F95" s="40"/>
      <c r="G95" s="53" t="s">
        <v>325</v>
      </c>
      <c r="H95" s="48"/>
      <c r="I95" s="21"/>
      <c r="J95" s="40"/>
      <c r="K95" s="40"/>
      <c r="L95" s="40"/>
      <c r="M95" s="40"/>
      <c r="N95" s="21"/>
      <c r="O95" s="48"/>
      <c r="P95" s="40"/>
      <c r="Q95" s="40"/>
      <c r="R95" s="40"/>
      <c r="S95" s="40"/>
      <c r="T95" s="40"/>
      <c r="U95" s="21"/>
      <c r="V95" s="48"/>
      <c r="W95" s="21"/>
      <c r="X95" s="40"/>
      <c r="Y95" s="40"/>
      <c r="Z95" s="40"/>
      <c r="AA95" s="40"/>
      <c r="AB95" s="21"/>
      <c r="AC95" s="48"/>
      <c r="AD95" s="40"/>
      <c r="AE95" s="40"/>
      <c r="AF95" s="40"/>
      <c r="AG95" s="40"/>
      <c r="AH95" s="91"/>
      <c r="AI95" s="40"/>
      <c r="AJ95" s="48"/>
      <c r="AK95" s="156"/>
      <c r="AL95" s="61"/>
    </row>
    <row r="96" spans="1:38" s="11" customFormat="1" ht="14.25" customHeight="1">
      <c r="A96" s="230"/>
      <c r="B96" s="91"/>
      <c r="C96" s="22"/>
      <c r="D96" s="40"/>
      <c r="E96" s="40"/>
      <c r="F96" s="40"/>
      <c r="G96" s="22" t="s">
        <v>327</v>
      </c>
      <c r="H96" s="48"/>
      <c r="I96" s="21"/>
      <c r="J96" s="40"/>
      <c r="K96" s="40"/>
      <c r="L96" s="40"/>
      <c r="M96" s="40"/>
      <c r="N96" s="21"/>
      <c r="O96" s="48"/>
      <c r="P96" s="40"/>
      <c r="Q96" s="40"/>
      <c r="R96" s="40"/>
      <c r="S96" s="40"/>
      <c r="T96" s="40"/>
      <c r="U96" s="21"/>
      <c r="V96" s="48"/>
      <c r="W96" s="21"/>
      <c r="X96" s="40"/>
      <c r="Y96" s="40"/>
      <c r="AA96" s="40"/>
      <c r="AB96" s="21"/>
      <c r="AC96" s="48"/>
      <c r="AD96" s="40"/>
      <c r="AE96" s="40"/>
      <c r="AF96" s="40"/>
      <c r="AG96" s="40"/>
      <c r="AH96" s="91"/>
      <c r="AI96" s="40"/>
      <c r="AJ96" s="48"/>
      <c r="AK96" s="156"/>
      <c r="AL96" s="61"/>
    </row>
    <row r="97" spans="1:38" s="11" customFormat="1" ht="14.25" customHeight="1">
      <c r="A97" s="230"/>
      <c r="B97" s="91"/>
      <c r="C97" s="22"/>
      <c r="D97" s="40"/>
      <c r="E97" s="40"/>
      <c r="F97" s="40"/>
      <c r="G97" s="22" t="s">
        <v>328</v>
      </c>
      <c r="H97" s="48"/>
      <c r="I97" s="21"/>
      <c r="J97" s="40"/>
      <c r="K97" s="40"/>
      <c r="L97" s="40"/>
      <c r="M97" s="40"/>
      <c r="N97" s="21"/>
      <c r="O97" s="48"/>
      <c r="P97" s="40"/>
      <c r="Q97" s="40"/>
      <c r="R97" s="22"/>
      <c r="S97" s="40"/>
      <c r="T97" s="40"/>
      <c r="U97" s="21"/>
      <c r="V97" s="48"/>
      <c r="W97" s="21"/>
      <c r="X97" s="40"/>
      <c r="Y97" s="40"/>
      <c r="Z97" s="40"/>
      <c r="AA97" s="40"/>
      <c r="AB97" s="21"/>
      <c r="AC97" s="48"/>
      <c r="AD97" s="40"/>
      <c r="AE97" s="40"/>
      <c r="AF97" s="40"/>
      <c r="AG97" s="40"/>
      <c r="AH97" s="91"/>
      <c r="AI97" s="40"/>
      <c r="AJ97" s="48"/>
      <c r="AK97" s="156"/>
      <c r="AL97" s="61"/>
    </row>
    <row r="98" spans="1:38" s="11" customFormat="1" ht="14.25" customHeight="1">
      <c r="A98" s="230"/>
      <c r="B98" s="91"/>
      <c r="C98" s="22"/>
      <c r="D98" s="40"/>
      <c r="E98" s="40"/>
      <c r="F98" s="40"/>
      <c r="G98" s="77" t="s">
        <v>329</v>
      </c>
      <c r="H98" s="48"/>
      <c r="I98" s="21"/>
      <c r="J98" s="40"/>
      <c r="K98" s="40"/>
      <c r="L98" s="40"/>
      <c r="M98" s="40"/>
      <c r="N98" s="21"/>
      <c r="O98" s="48"/>
      <c r="P98" s="40"/>
      <c r="Q98" s="40"/>
      <c r="R98" s="22"/>
      <c r="S98" s="40"/>
      <c r="T98" s="40"/>
      <c r="U98" s="21"/>
      <c r="V98" s="48"/>
      <c r="W98" s="21"/>
      <c r="X98" s="40"/>
      <c r="Y98" s="40"/>
      <c r="Z98" s="40"/>
      <c r="AA98" s="40"/>
      <c r="AB98" s="21"/>
      <c r="AC98" s="48"/>
      <c r="AD98" s="40"/>
      <c r="AE98" s="40"/>
      <c r="AF98" s="40"/>
      <c r="AG98" s="40"/>
      <c r="AH98" s="91"/>
      <c r="AI98" s="40"/>
      <c r="AJ98" s="48"/>
      <c r="AK98" s="156"/>
      <c r="AL98" s="61"/>
    </row>
    <row r="99" spans="1:38" s="11" customFormat="1" ht="14.25" customHeight="1">
      <c r="A99" s="230"/>
      <c r="B99" s="91"/>
      <c r="C99" s="22"/>
      <c r="D99" s="40"/>
      <c r="E99" s="40"/>
      <c r="F99" s="40"/>
      <c r="G99" s="22" t="s">
        <v>330</v>
      </c>
      <c r="H99" s="48"/>
      <c r="I99" s="21"/>
      <c r="J99" s="40"/>
      <c r="K99" s="40"/>
      <c r="L99" s="40"/>
      <c r="M99" s="40"/>
      <c r="N99" s="21"/>
      <c r="O99" s="48"/>
      <c r="P99" s="40"/>
      <c r="Q99" s="40"/>
      <c r="R99" s="22"/>
      <c r="S99" s="40"/>
      <c r="T99" s="40"/>
      <c r="U99" s="21"/>
      <c r="V99" s="48"/>
      <c r="W99" s="21"/>
      <c r="X99" s="40"/>
      <c r="Y99" s="40"/>
      <c r="Z99" s="40"/>
      <c r="AA99" s="40"/>
      <c r="AB99" s="21"/>
      <c r="AC99" s="48"/>
      <c r="AD99" s="40"/>
      <c r="AE99" s="40"/>
      <c r="AF99" s="40"/>
      <c r="AG99" s="40"/>
      <c r="AH99" s="91"/>
      <c r="AI99" s="40"/>
      <c r="AJ99" s="48"/>
      <c r="AK99" s="156"/>
      <c r="AL99" s="61"/>
    </row>
    <row r="100" spans="1:38" s="11" customFormat="1" ht="17.25" customHeight="1">
      <c r="A100" s="230"/>
      <c r="B100" s="24"/>
      <c r="C100" s="56"/>
      <c r="D100" s="24"/>
      <c r="E100" s="56"/>
      <c r="F100" s="242">
        <f>30+50+54+84+107+105+266+125+260+502+840+300+600+600+2+300+600+2+1200+3267+2204+276+113+113+276+113+113+271+578+2191</f>
        <v>15542</v>
      </c>
      <c r="G100" s="243"/>
      <c r="H100" s="25"/>
      <c r="I100" s="24"/>
      <c r="J100" s="24"/>
      <c r="K100" s="24"/>
      <c r="L100" s="24"/>
      <c r="M100" s="24"/>
      <c r="N100" s="24"/>
      <c r="O100" s="25"/>
      <c r="P100" s="56"/>
      <c r="Q100" s="24"/>
      <c r="R100" s="56"/>
      <c r="S100" s="24"/>
      <c r="T100" s="233">
        <f>291+334+152+778+522+1034+76+1200+120+84+201+279+419+259+167+314+114+393</f>
        <v>6737</v>
      </c>
      <c r="U100" s="234"/>
      <c r="V100" s="25"/>
      <c r="W100" s="24"/>
      <c r="X100" s="24"/>
      <c r="Y100" s="24"/>
      <c r="Z100" s="233">
        <f>794+500+142+1+120+358+486+501+618+118+5000</f>
        <v>8638</v>
      </c>
      <c r="AA100" s="234"/>
      <c r="AB100" s="24"/>
      <c r="AC100" s="24"/>
      <c r="AD100" s="24"/>
      <c r="AE100" s="24"/>
      <c r="AF100" s="24"/>
      <c r="AG100" s="56"/>
      <c r="AH100" s="24"/>
      <c r="AI100" s="56"/>
      <c r="AJ100" s="24"/>
      <c r="AK100" s="24"/>
      <c r="AL100" s="64"/>
    </row>
    <row r="101" spans="1:38" s="11" customFormat="1" ht="2.25" customHeight="1">
      <c r="A101" s="26"/>
      <c r="B101" s="27"/>
      <c r="C101" s="27"/>
      <c r="D101" s="27"/>
      <c r="E101" s="28"/>
      <c r="F101" s="27"/>
      <c r="G101" s="27"/>
      <c r="H101" s="27"/>
      <c r="I101" s="27"/>
      <c r="J101" s="44"/>
      <c r="K101" s="44"/>
      <c r="L101" s="44"/>
      <c r="M101" s="44"/>
      <c r="N101" s="44"/>
      <c r="O101" s="27"/>
      <c r="P101" s="27"/>
      <c r="Q101" s="27"/>
      <c r="R101" s="27"/>
      <c r="S101" s="27"/>
      <c r="T101" s="27"/>
      <c r="U101" s="44"/>
      <c r="V101" s="27"/>
      <c r="W101" s="27"/>
      <c r="X101" s="44"/>
      <c r="Y101" s="44"/>
      <c r="Z101" s="44"/>
      <c r="AA101" s="44"/>
      <c r="AB101" s="44"/>
      <c r="AC101" s="27"/>
      <c r="AD101" s="27"/>
      <c r="AE101" s="44"/>
      <c r="AF101" s="44"/>
      <c r="AG101" s="44"/>
      <c r="AH101" s="44"/>
      <c r="AI101" s="44"/>
      <c r="AJ101" s="30"/>
      <c r="AK101" s="44"/>
      <c r="AL101" s="30"/>
    </row>
    <row r="102" spans="1:38" s="57" customFormat="1" ht="32.25" customHeight="1">
      <c r="A102" s="236" t="s">
        <v>2</v>
      </c>
      <c r="B102" s="38" t="s">
        <v>3</v>
      </c>
      <c r="C102" s="32"/>
      <c r="D102" s="31"/>
      <c r="E102" s="31"/>
      <c r="F102" s="32"/>
      <c r="G102" s="32"/>
      <c r="H102" s="32"/>
      <c r="I102" s="238" t="s">
        <v>4</v>
      </c>
      <c r="J102" s="32"/>
      <c r="K102" s="32"/>
      <c r="L102" s="32"/>
      <c r="M102" s="32"/>
      <c r="N102" s="32"/>
      <c r="O102" s="32"/>
      <c r="P102" s="238" t="s">
        <v>5</v>
      </c>
      <c r="Q102" s="32"/>
      <c r="R102" s="32"/>
      <c r="S102" s="32"/>
      <c r="T102" s="32"/>
      <c r="U102" s="32"/>
      <c r="V102" s="32"/>
      <c r="W102" s="238" t="s">
        <v>6</v>
      </c>
      <c r="X102" s="32"/>
      <c r="Y102" s="32"/>
      <c r="Z102" s="32"/>
      <c r="AA102" s="32"/>
      <c r="AB102" s="32"/>
      <c r="AC102" s="32"/>
      <c r="AD102" s="238" t="s">
        <v>46</v>
      </c>
      <c r="AE102" s="32"/>
      <c r="AF102" s="32"/>
      <c r="AG102" s="32"/>
      <c r="AH102" s="32"/>
      <c r="AI102" s="32"/>
      <c r="AJ102" s="32"/>
      <c r="AK102" s="32"/>
      <c r="AL102" s="33"/>
    </row>
    <row r="103" spans="1:38" s="57" customFormat="1" ht="32.25" customHeight="1" thickBot="1">
      <c r="A103" s="237"/>
      <c r="B103" s="39" t="s">
        <v>7</v>
      </c>
      <c r="C103" s="35"/>
      <c r="D103" s="34"/>
      <c r="E103" s="34"/>
      <c r="F103" s="35"/>
      <c r="G103" s="35"/>
      <c r="H103" s="35"/>
      <c r="I103" s="239"/>
      <c r="J103" s="35"/>
      <c r="K103" s="35"/>
      <c r="L103" s="35"/>
      <c r="M103" s="35"/>
      <c r="N103" s="35"/>
      <c r="O103" s="35"/>
      <c r="P103" s="239"/>
      <c r="Q103" s="35"/>
      <c r="R103" s="35"/>
      <c r="S103" s="35"/>
      <c r="T103" s="35"/>
      <c r="U103" s="35"/>
      <c r="V103" s="35"/>
      <c r="W103" s="239"/>
      <c r="X103" s="35"/>
      <c r="Y103" s="35"/>
      <c r="Z103" s="35"/>
      <c r="AA103" s="35"/>
      <c r="AB103" s="35"/>
      <c r="AC103" s="35"/>
      <c r="AD103" s="239"/>
      <c r="AE103" s="35"/>
      <c r="AF103" s="35"/>
      <c r="AG103" s="35"/>
      <c r="AH103" s="35"/>
      <c r="AI103" s="35"/>
      <c r="AJ103" s="35"/>
      <c r="AK103" s="35"/>
      <c r="AL103" s="36"/>
    </row>
  </sheetData>
  <mergeCells count="21">
    <mergeCell ref="AD102:AD103"/>
    <mergeCell ref="AG66:AH66"/>
    <mergeCell ref="AK66:AL66"/>
    <mergeCell ref="A72:A100"/>
    <mergeCell ref="AJ82:AK82"/>
    <mergeCell ref="F100:G100"/>
    <mergeCell ref="T100:U100"/>
    <mergeCell ref="Z100:AA100"/>
    <mergeCell ref="A102:A103"/>
    <mergeCell ref="I102:I103"/>
    <mergeCell ref="P102:P103"/>
    <mergeCell ref="W102:W103"/>
    <mergeCell ref="AJ21:AK21"/>
    <mergeCell ref="G41:H41"/>
    <mergeCell ref="A47:A66"/>
    <mergeCell ref="AJ55:AK55"/>
    <mergeCell ref="G66:H66"/>
    <mergeCell ref="L66:M66"/>
    <mergeCell ref="T66:U66"/>
    <mergeCell ref="S41:T41"/>
    <mergeCell ref="A9:A41"/>
  </mergeCells>
  <phoneticPr fontId="48" type="noConversion"/>
  <conditionalFormatting sqref="T47">
    <cfRule type="duplicateValues" dxfId="20" priority="2"/>
  </conditionalFormatting>
  <conditionalFormatting sqref="Z54">
    <cfRule type="duplicateValues" dxfId="19" priority="3"/>
  </conditionalFormatting>
  <conditionalFormatting sqref="AH47">
    <cfRule type="duplicateValues" dxfId="18" priority="1"/>
  </conditionalFormatting>
  <printOptions horizontalCentered="1"/>
  <pageMargins left="0" right="0" top="0" bottom="0" header="0" footer="0"/>
  <pageSetup paperSize="9" scale="3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Q64"/>
  <sheetViews>
    <sheetView zoomScale="75" zoomScaleNormal="75" workbookViewId="0">
      <pane ySplit="4" topLeftCell="A5" activePane="bottomLeft" state="frozen"/>
      <selection activeCell="T54" sqref="T54"/>
      <selection pane="bottomLeft" activeCell="E45" sqref="E45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40" s="4" customFormat="1" ht="22">
      <c r="A1" s="3"/>
      <c r="B1" s="7"/>
      <c r="Q1" s="1" t="s">
        <v>1224</v>
      </c>
      <c r="AI1" s="5"/>
      <c r="AJ1" s="5" t="s">
        <v>1645</v>
      </c>
    </row>
    <row r="2" spans="1:40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40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40" s="11" customFormat="1" ht="17.25" customHeight="1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40" s="11" customFormat="1" ht="16.5" customHeight="1">
      <c r="A5" s="12" t="s">
        <v>0</v>
      </c>
      <c r="B5" s="16"/>
      <c r="C5" s="16"/>
      <c r="D5" s="16"/>
      <c r="E5" s="16"/>
      <c r="F5" s="16"/>
      <c r="G5" s="68">
        <v>1080</v>
      </c>
      <c r="H5" s="25"/>
      <c r="I5" s="16">
        <v>1200</v>
      </c>
      <c r="J5" s="16">
        <v>1600</v>
      </c>
      <c r="K5" s="16">
        <v>1600</v>
      </c>
      <c r="L5" s="16">
        <v>1650</v>
      </c>
      <c r="M5" s="16">
        <v>1650</v>
      </c>
      <c r="N5" s="16">
        <v>1200</v>
      </c>
      <c r="O5" s="25"/>
      <c r="P5" s="16">
        <v>1200</v>
      </c>
      <c r="Q5" s="16">
        <v>1430</v>
      </c>
      <c r="R5" s="16">
        <v>1650</v>
      </c>
      <c r="S5" s="16">
        <v>1430</v>
      </c>
      <c r="T5" s="51">
        <v>1650</v>
      </c>
      <c r="U5" s="16">
        <v>1380</v>
      </c>
      <c r="V5" s="25"/>
      <c r="W5" s="16">
        <v>1430</v>
      </c>
      <c r="X5" s="16">
        <v>1200</v>
      </c>
      <c r="Y5" s="16">
        <v>1200</v>
      </c>
      <c r="Z5" s="16">
        <v>1200</v>
      </c>
      <c r="AA5" s="16">
        <v>1160</v>
      </c>
      <c r="AB5" s="16">
        <v>1160</v>
      </c>
      <c r="AC5" s="25"/>
      <c r="AD5" s="16">
        <v>1160</v>
      </c>
      <c r="AE5" s="16">
        <v>1200</v>
      </c>
      <c r="AF5" s="16">
        <v>1200</v>
      </c>
      <c r="AG5" s="16">
        <v>1200</v>
      </c>
      <c r="AH5" s="51">
        <v>1200</v>
      </c>
      <c r="AI5" s="16">
        <v>1200</v>
      </c>
      <c r="AJ5" s="25"/>
      <c r="AK5" s="16">
        <v>1200</v>
      </c>
      <c r="AL5" s="16">
        <v>1200</v>
      </c>
      <c r="AM5" s="17">
        <f>+SUM(B5:AL5)</f>
        <v>35630</v>
      </c>
    </row>
    <row r="6" spans="1:40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8">
        <v>11</v>
      </c>
      <c r="J6" s="18">
        <v>11</v>
      </c>
      <c r="K6" s="18">
        <v>11</v>
      </c>
      <c r="L6" s="18">
        <v>11</v>
      </c>
      <c r="M6" s="18">
        <v>8</v>
      </c>
      <c r="N6" s="18">
        <v>8</v>
      </c>
      <c r="O6" s="25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8">
        <v>8</v>
      </c>
      <c r="X6" s="18">
        <v>8</v>
      </c>
      <c r="Y6" s="18">
        <v>8</v>
      </c>
      <c r="Z6" s="18">
        <v>8</v>
      </c>
      <c r="AA6" s="18">
        <v>8</v>
      </c>
      <c r="AB6" s="18">
        <v>8</v>
      </c>
      <c r="AC6" s="193"/>
      <c r="AD6" s="18">
        <v>8</v>
      </c>
      <c r="AE6" s="18">
        <v>8</v>
      </c>
      <c r="AF6" s="18">
        <v>8</v>
      </c>
      <c r="AG6" s="18">
        <v>8</v>
      </c>
      <c r="AH6" s="18">
        <v>8</v>
      </c>
      <c r="AI6" s="18">
        <v>8</v>
      </c>
      <c r="AJ6" s="25"/>
      <c r="AK6" s="18">
        <v>8</v>
      </c>
      <c r="AL6" s="18">
        <v>8</v>
      </c>
    </row>
    <row r="7" spans="1:40" s="17" customFormat="1" ht="16.5" customHeight="1">
      <c r="A7" s="2" t="s">
        <v>19</v>
      </c>
      <c r="B7" s="41"/>
      <c r="C7" s="41"/>
      <c r="D7" s="41"/>
      <c r="E7" s="41"/>
      <c r="F7" s="41"/>
      <c r="G7" s="71" t="s">
        <v>1238</v>
      </c>
      <c r="H7" s="25"/>
      <c r="I7" s="71"/>
      <c r="J7" s="41"/>
      <c r="K7" s="41"/>
      <c r="L7" s="71"/>
      <c r="M7" s="71"/>
      <c r="N7" s="41"/>
      <c r="O7" s="25"/>
      <c r="P7" s="41"/>
      <c r="Q7" s="41"/>
      <c r="R7" s="41"/>
      <c r="S7" s="41"/>
      <c r="T7" s="41"/>
      <c r="U7" s="71" t="s">
        <v>345</v>
      </c>
      <c r="V7" s="25"/>
      <c r="W7" s="71" t="s">
        <v>1238</v>
      </c>
      <c r="X7" s="41"/>
      <c r="Y7" s="41"/>
      <c r="Z7" s="41"/>
      <c r="AA7" s="71" t="s">
        <v>345</v>
      </c>
      <c r="AB7" s="41"/>
      <c r="AC7" s="25"/>
      <c r="AD7" s="41"/>
      <c r="AE7" s="71" t="s">
        <v>1238</v>
      </c>
      <c r="AF7" s="41"/>
      <c r="AG7" s="41"/>
      <c r="AH7" s="41"/>
      <c r="AI7" s="41"/>
      <c r="AJ7" s="25"/>
      <c r="AK7" s="41"/>
      <c r="AL7" s="60"/>
      <c r="AN7" s="70"/>
    </row>
    <row r="8" spans="1:40" s="17" customFormat="1" ht="16.5" customHeight="1">
      <c r="A8" s="2" t="s">
        <v>20</v>
      </c>
      <c r="B8" s="20"/>
      <c r="C8" s="20"/>
      <c r="D8" s="20"/>
      <c r="E8" s="20"/>
      <c r="F8" s="20"/>
      <c r="G8" s="20">
        <v>0.9</v>
      </c>
      <c r="H8" s="25"/>
      <c r="I8" s="20"/>
      <c r="J8" s="20"/>
      <c r="K8" s="20"/>
      <c r="L8" s="20"/>
      <c r="M8" s="20"/>
      <c r="N8" s="20"/>
      <c r="O8" s="25"/>
      <c r="P8" s="20"/>
      <c r="Q8" s="20"/>
      <c r="R8" s="20"/>
      <c r="S8" s="20"/>
      <c r="T8" s="20"/>
      <c r="U8" s="20"/>
      <c r="V8" s="25"/>
      <c r="W8" s="20"/>
      <c r="X8" s="20"/>
      <c r="Y8" s="20"/>
      <c r="Z8" s="20"/>
      <c r="AA8" s="20"/>
      <c r="AB8" s="20"/>
      <c r="AC8" s="25"/>
      <c r="AD8" s="20"/>
      <c r="AE8" s="20"/>
      <c r="AF8" s="20"/>
      <c r="AG8" s="20"/>
      <c r="AH8" s="20"/>
      <c r="AI8" s="20"/>
      <c r="AJ8" s="25"/>
      <c r="AK8" s="20"/>
      <c r="AL8" s="60"/>
    </row>
    <row r="9" spans="1:40" s="11" customFormat="1" ht="16.5" customHeight="1">
      <c r="A9" s="229" t="s">
        <v>51</v>
      </c>
      <c r="B9" s="46"/>
      <c r="C9" s="70"/>
      <c r="D9" s="40"/>
      <c r="E9" s="47"/>
      <c r="F9" s="47"/>
      <c r="G9" s="70" t="s">
        <v>833</v>
      </c>
      <c r="H9" s="48"/>
      <c r="I9" s="40"/>
      <c r="J9" s="47"/>
      <c r="K9" s="50"/>
      <c r="L9" s="40"/>
      <c r="M9" s="70" t="s">
        <v>115</v>
      </c>
      <c r="N9" s="40"/>
      <c r="O9" s="48"/>
      <c r="P9" s="40"/>
      <c r="T9" s="70" t="s">
        <v>109</v>
      </c>
      <c r="V9" s="48"/>
      <c r="W9" s="40"/>
      <c r="X9" s="50"/>
      <c r="Y9" s="40"/>
      <c r="AB9" s="47"/>
      <c r="AC9" s="48"/>
      <c r="AD9" s="70" t="s">
        <v>1300</v>
      </c>
      <c r="AE9" s="40"/>
      <c r="AF9" s="40"/>
      <c r="AG9" s="40"/>
      <c r="AH9" s="40"/>
      <c r="AI9" s="47"/>
      <c r="AJ9" s="48"/>
      <c r="AK9" s="62"/>
      <c r="AL9" s="61"/>
    </row>
    <row r="10" spans="1:40" s="11" customFormat="1" ht="16.5" customHeight="1">
      <c r="A10" s="230"/>
      <c r="B10" s="22"/>
      <c r="C10" s="40"/>
      <c r="D10" s="40"/>
      <c r="E10" s="21"/>
      <c r="F10" s="21"/>
      <c r="G10" s="190" t="s">
        <v>1577</v>
      </c>
      <c r="H10" s="48"/>
      <c r="I10" s="40"/>
      <c r="J10" s="21"/>
      <c r="K10" s="22"/>
      <c r="L10" s="40"/>
      <c r="M10" s="22" t="s">
        <v>128</v>
      </c>
      <c r="N10" s="40"/>
      <c r="O10" s="48"/>
      <c r="P10" s="40"/>
      <c r="Q10" s="40"/>
      <c r="R10" s="40"/>
      <c r="S10" s="40"/>
      <c r="T10" s="22" t="s">
        <v>114</v>
      </c>
      <c r="U10" s="40"/>
      <c r="V10" s="48"/>
      <c r="W10" s="40"/>
      <c r="X10" s="40"/>
      <c r="Y10" s="40"/>
      <c r="Z10" s="40"/>
      <c r="AA10" s="40"/>
      <c r="AB10" s="21"/>
      <c r="AC10" s="48"/>
      <c r="AD10" s="22" t="s">
        <v>971</v>
      </c>
      <c r="AE10" s="40"/>
      <c r="AF10" s="40"/>
      <c r="AG10" s="40"/>
      <c r="AH10" s="40"/>
      <c r="AI10" s="21"/>
      <c r="AJ10" s="48"/>
      <c r="AK10" s="58"/>
      <c r="AL10" s="61"/>
    </row>
    <row r="11" spans="1:40" s="11" customFormat="1" ht="16.5" customHeight="1">
      <c r="A11" s="230"/>
      <c r="B11" s="22"/>
      <c r="C11" s="40"/>
      <c r="D11" s="40"/>
      <c r="E11" s="40"/>
      <c r="F11" s="21"/>
      <c r="G11" s="70" t="s">
        <v>115</v>
      </c>
      <c r="H11" s="48"/>
      <c r="I11" s="40"/>
      <c r="J11" s="21"/>
      <c r="K11" s="22"/>
      <c r="L11" s="40"/>
      <c r="M11" s="22" t="s">
        <v>129</v>
      </c>
      <c r="N11" s="40"/>
      <c r="O11" s="48"/>
      <c r="P11" s="40"/>
      <c r="Q11" s="40"/>
      <c r="R11" s="40"/>
      <c r="S11" s="40"/>
      <c r="T11" s="22" t="s">
        <v>113</v>
      </c>
      <c r="U11" s="40"/>
      <c r="V11" s="48"/>
      <c r="W11" s="40"/>
      <c r="X11" s="40"/>
      <c r="Y11" s="40"/>
      <c r="Z11" s="40"/>
      <c r="AA11" s="40"/>
      <c r="AB11" s="21"/>
      <c r="AC11" s="48"/>
      <c r="AD11" s="22" t="s">
        <v>972</v>
      </c>
      <c r="AE11" s="40"/>
      <c r="AF11" s="40"/>
      <c r="AG11" s="40"/>
      <c r="AH11" s="40"/>
      <c r="AI11" s="21"/>
      <c r="AJ11" s="48"/>
      <c r="AK11" s="58"/>
      <c r="AL11" s="61"/>
    </row>
    <row r="12" spans="1:40" s="11" customFormat="1" ht="16.5" customHeight="1">
      <c r="A12" s="230"/>
      <c r="B12" s="22"/>
      <c r="C12" s="40"/>
      <c r="D12" s="40"/>
      <c r="E12" s="40"/>
      <c r="F12" s="21"/>
      <c r="G12" s="171" t="s">
        <v>1387</v>
      </c>
      <c r="H12" s="48"/>
      <c r="I12" s="40"/>
      <c r="J12" s="21"/>
      <c r="K12" s="22"/>
      <c r="L12" s="40"/>
      <c r="M12" s="22" t="s">
        <v>130</v>
      </c>
      <c r="N12" s="40"/>
      <c r="O12" s="48"/>
      <c r="P12" s="40"/>
      <c r="Q12" s="40"/>
      <c r="R12" s="40"/>
      <c r="S12" s="40"/>
      <c r="T12" s="70" t="s">
        <v>115</v>
      </c>
      <c r="U12" s="40"/>
      <c r="V12" s="48"/>
      <c r="W12" s="40"/>
      <c r="X12" s="40"/>
      <c r="Y12" s="40"/>
      <c r="Z12" s="40"/>
      <c r="AA12" s="40"/>
      <c r="AB12" s="40"/>
      <c r="AC12" s="48"/>
      <c r="AD12" s="22" t="s">
        <v>156</v>
      </c>
      <c r="AE12" s="40"/>
      <c r="AF12" s="40"/>
      <c r="AG12" s="40"/>
      <c r="AH12" s="21"/>
      <c r="AI12" s="21"/>
      <c r="AJ12" s="48"/>
      <c r="AK12" s="58"/>
      <c r="AL12" s="61"/>
    </row>
    <row r="13" spans="1:40" s="11" customFormat="1" ht="16.5" customHeight="1">
      <c r="A13" s="230"/>
      <c r="B13" s="22"/>
      <c r="C13" s="40"/>
      <c r="D13" s="40"/>
      <c r="E13" s="40"/>
      <c r="F13" s="40"/>
      <c r="G13" s="171" t="s">
        <v>1388</v>
      </c>
      <c r="H13" s="48"/>
      <c r="I13" s="40"/>
      <c r="J13" s="21"/>
      <c r="K13" s="53"/>
      <c r="L13" s="40"/>
      <c r="M13" s="22" t="s">
        <v>131</v>
      </c>
      <c r="N13" s="40"/>
      <c r="O13" s="48"/>
      <c r="P13" s="40"/>
      <c r="Q13" s="40"/>
      <c r="R13" s="40"/>
      <c r="S13" s="40"/>
      <c r="T13" s="22" t="s">
        <v>137</v>
      </c>
      <c r="U13" s="40"/>
      <c r="V13" s="48"/>
      <c r="W13" s="40"/>
      <c r="X13" s="40"/>
      <c r="Y13" s="40"/>
      <c r="Z13" s="40"/>
      <c r="AA13" s="40"/>
      <c r="AB13" s="40"/>
      <c r="AC13" s="48"/>
      <c r="AD13" s="22" t="s">
        <v>157</v>
      </c>
      <c r="AE13" s="40"/>
      <c r="AF13" s="40"/>
      <c r="AG13" s="40"/>
      <c r="AH13" s="21"/>
      <c r="AI13" s="21"/>
      <c r="AJ13" s="48"/>
      <c r="AK13" s="58"/>
      <c r="AL13" s="61"/>
    </row>
    <row r="14" spans="1:40" s="11" customFormat="1" ht="16.5" customHeight="1">
      <c r="A14" s="230"/>
      <c r="B14" s="22"/>
      <c r="C14" s="40"/>
      <c r="D14" s="40"/>
      <c r="E14" s="40"/>
      <c r="F14" s="40"/>
      <c r="G14" s="171" t="s">
        <v>1389</v>
      </c>
      <c r="H14" s="48"/>
      <c r="I14" s="40"/>
      <c r="J14" s="21"/>
      <c r="K14" s="53"/>
      <c r="L14" s="40"/>
      <c r="M14" s="22" t="s">
        <v>132</v>
      </c>
      <c r="N14" s="40"/>
      <c r="O14" s="48"/>
      <c r="P14" s="40"/>
      <c r="Q14" s="40"/>
      <c r="R14" s="40"/>
      <c r="S14" s="40"/>
      <c r="T14" s="22" t="s">
        <v>138</v>
      </c>
      <c r="U14" s="40"/>
      <c r="V14" s="48"/>
      <c r="W14" s="40"/>
      <c r="X14" s="40"/>
      <c r="Y14" s="40"/>
      <c r="Z14" s="40"/>
      <c r="AA14" s="40"/>
      <c r="AB14" s="40"/>
      <c r="AC14" s="48"/>
      <c r="AD14" s="22" t="s">
        <v>158</v>
      </c>
      <c r="AE14" s="40"/>
      <c r="AF14" s="40"/>
      <c r="AG14" s="40"/>
      <c r="AH14" s="21"/>
      <c r="AI14" s="21"/>
      <c r="AJ14" s="48"/>
      <c r="AK14" s="58"/>
      <c r="AL14" s="61"/>
    </row>
    <row r="15" spans="1:40" s="11" customFormat="1" ht="16.5" customHeight="1">
      <c r="A15" s="230"/>
      <c r="B15" s="22"/>
      <c r="C15" s="40"/>
      <c r="D15" s="40"/>
      <c r="E15" s="40"/>
      <c r="F15" s="40"/>
      <c r="G15" s="171" t="s">
        <v>1390</v>
      </c>
      <c r="H15" s="48"/>
      <c r="I15" s="40"/>
      <c r="J15" s="21"/>
      <c r="K15" s="53"/>
      <c r="L15" s="40"/>
      <c r="M15" s="22" t="s">
        <v>133</v>
      </c>
      <c r="N15" s="40"/>
      <c r="O15" s="48"/>
      <c r="P15" s="40"/>
      <c r="Q15" s="40"/>
      <c r="R15" s="40"/>
      <c r="S15" s="40"/>
      <c r="T15" s="22" t="s">
        <v>139</v>
      </c>
      <c r="U15" s="40"/>
      <c r="V15" s="48"/>
      <c r="W15" s="40"/>
      <c r="X15" s="40"/>
      <c r="Y15" s="40"/>
      <c r="Z15" s="40"/>
      <c r="AA15" s="40"/>
      <c r="AB15" s="50"/>
      <c r="AC15" s="48"/>
      <c r="AD15" s="22" t="s">
        <v>160</v>
      </c>
      <c r="AE15" s="40"/>
      <c r="AF15" s="40"/>
      <c r="AG15" s="40"/>
      <c r="AH15" s="21"/>
      <c r="AI15" s="21"/>
      <c r="AJ15" s="48"/>
      <c r="AK15" s="58"/>
      <c r="AL15" s="61"/>
    </row>
    <row r="16" spans="1:40" s="11" customFormat="1" ht="16.5" customHeight="1">
      <c r="A16" s="230"/>
      <c r="B16" s="22"/>
      <c r="C16" s="40"/>
      <c r="D16" s="40"/>
      <c r="E16" s="40"/>
      <c r="F16" s="40"/>
      <c r="G16" s="171" t="s">
        <v>1391</v>
      </c>
      <c r="H16" s="48"/>
      <c r="I16" s="40"/>
      <c r="J16" s="21"/>
      <c r="K16" s="22"/>
      <c r="L16" s="40"/>
      <c r="M16" s="22" t="s">
        <v>134</v>
      </c>
      <c r="N16" s="40"/>
      <c r="O16" s="48"/>
      <c r="P16" s="40"/>
      <c r="Q16" s="40"/>
      <c r="R16" s="40"/>
      <c r="S16" s="40"/>
      <c r="T16" s="22" t="s">
        <v>140</v>
      </c>
      <c r="U16" s="40"/>
      <c r="V16" s="48"/>
      <c r="W16" s="40"/>
      <c r="X16" s="40"/>
      <c r="Y16" s="40"/>
      <c r="Z16" s="40"/>
      <c r="AA16" s="40"/>
      <c r="AB16" s="40"/>
      <c r="AC16" s="48"/>
      <c r="AD16" s="22" t="s">
        <v>161</v>
      </c>
      <c r="AE16" s="40"/>
      <c r="AF16" s="40"/>
      <c r="AG16" s="40"/>
      <c r="AH16" s="22"/>
      <c r="AI16" s="21"/>
      <c r="AJ16" s="48"/>
      <c r="AK16" s="58"/>
      <c r="AL16" s="61"/>
    </row>
    <row r="17" spans="1:42" s="11" customFormat="1" ht="16.5" customHeight="1">
      <c r="A17" s="230"/>
      <c r="B17" s="40"/>
      <c r="C17" s="40"/>
      <c r="D17" s="40"/>
      <c r="E17" s="40"/>
      <c r="F17" s="40"/>
      <c r="G17" s="171" t="s">
        <v>1392</v>
      </c>
      <c r="H17" s="48"/>
      <c r="I17" s="40"/>
      <c r="J17" s="21"/>
      <c r="K17" s="53"/>
      <c r="L17" s="40"/>
      <c r="M17" s="22" t="s">
        <v>117</v>
      </c>
      <c r="N17" s="40"/>
      <c r="O17" s="48"/>
      <c r="P17" s="40"/>
      <c r="Q17" s="40"/>
      <c r="R17" s="40"/>
      <c r="S17" s="40"/>
      <c r="T17" s="22" t="s">
        <v>141</v>
      </c>
      <c r="U17" s="40"/>
      <c r="V17" s="48"/>
      <c r="W17" s="21"/>
      <c r="X17" s="40"/>
      <c r="Y17" s="40"/>
      <c r="AA17" s="40"/>
      <c r="AB17" s="40"/>
      <c r="AC17" s="48"/>
      <c r="AD17" s="22" t="s">
        <v>175</v>
      </c>
      <c r="AE17" s="40"/>
      <c r="AF17" s="40"/>
      <c r="AG17" s="40"/>
      <c r="AH17" s="40"/>
      <c r="AI17" s="21"/>
      <c r="AJ17" s="240">
        <f>+SUM(B36:AL36)</f>
        <v>35659</v>
      </c>
      <c r="AK17" s="241"/>
      <c r="AL17" s="23" t="s">
        <v>1</v>
      </c>
      <c r="AP17" s="70"/>
    </row>
    <row r="18" spans="1:42" s="11" customFormat="1" ht="16.5" customHeight="1">
      <c r="A18" s="230"/>
      <c r="B18" s="40"/>
      <c r="C18" s="40"/>
      <c r="D18" s="40"/>
      <c r="E18" s="40"/>
      <c r="F18" s="40"/>
      <c r="G18" s="171" t="s">
        <v>1393</v>
      </c>
      <c r="H18" s="48"/>
      <c r="I18" s="40"/>
      <c r="J18" s="21"/>
      <c r="K18" s="53"/>
      <c r="L18" s="40"/>
      <c r="M18" s="22" t="s">
        <v>118</v>
      </c>
      <c r="N18" s="40"/>
      <c r="O18" s="48"/>
      <c r="P18" s="40"/>
      <c r="Q18" s="40"/>
      <c r="R18" s="40"/>
      <c r="S18" s="40"/>
      <c r="T18" s="22" t="s">
        <v>142</v>
      </c>
      <c r="U18" s="40"/>
      <c r="V18" s="48"/>
      <c r="W18" s="21"/>
      <c r="X18" s="40"/>
      <c r="Y18" s="40"/>
      <c r="Z18" s="40"/>
      <c r="AA18" s="40"/>
      <c r="AB18" s="40"/>
      <c r="AC18" s="48"/>
      <c r="AD18" s="22" t="s">
        <v>174</v>
      </c>
      <c r="AE18" s="40"/>
      <c r="AF18" s="40"/>
      <c r="AG18" s="40"/>
      <c r="AH18" s="40"/>
      <c r="AI18" s="21"/>
      <c r="AJ18" s="48"/>
      <c r="AK18" s="225"/>
      <c r="AL18" s="23"/>
    </row>
    <row r="19" spans="1:42" s="11" customFormat="1" ht="16.5" customHeight="1">
      <c r="A19" s="230"/>
      <c r="B19" s="40"/>
      <c r="C19" s="40"/>
      <c r="D19" s="40"/>
      <c r="E19" s="40"/>
      <c r="F19" s="21"/>
      <c r="G19" s="171" t="s">
        <v>1394</v>
      </c>
      <c r="H19" s="48"/>
      <c r="I19" s="40"/>
      <c r="J19" s="21"/>
      <c r="K19" s="53"/>
      <c r="L19" s="40"/>
      <c r="M19" s="22" t="s">
        <v>119</v>
      </c>
      <c r="N19" s="40"/>
      <c r="O19" s="48"/>
      <c r="P19" s="40"/>
      <c r="Q19" s="40"/>
      <c r="R19" s="40"/>
      <c r="S19" s="40"/>
      <c r="T19" s="22" t="s">
        <v>143</v>
      </c>
      <c r="U19" s="40"/>
      <c r="V19" s="48"/>
      <c r="W19" s="21"/>
      <c r="X19" s="40"/>
      <c r="Y19" s="40"/>
      <c r="Z19" s="40"/>
      <c r="AA19" s="40"/>
      <c r="AB19" s="40"/>
      <c r="AC19" s="48"/>
      <c r="AD19" s="22" t="s">
        <v>162</v>
      </c>
      <c r="AE19" s="40"/>
      <c r="AF19" s="40"/>
      <c r="AG19" s="40"/>
      <c r="AH19" s="40"/>
      <c r="AI19" s="21"/>
      <c r="AJ19" s="48"/>
      <c r="AK19" s="225"/>
      <c r="AL19" s="23"/>
    </row>
    <row r="20" spans="1:42" s="11" customFormat="1" ht="16.5" customHeight="1">
      <c r="A20" s="230"/>
      <c r="B20" s="40"/>
      <c r="C20" s="40"/>
      <c r="D20" s="40"/>
      <c r="E20" s="40"/>
      <c r="F20" s="21"/>
      <c r="G20" s="70" t="s">
        <v>109</v>
      </c>
      <c r="H20" s="48"/>
      <c r="I20" s="40"/>
      <c r="J20" s="21"/>
      <c r="K20" s="53"/>
      <c r="L20" s="40"/>
      <c r="M20" s="22" t="s">
        <v>120</v>
      </c>
      <c r="N20" s="40"/>
      <c r="O20" s="48"/>
      <c r="P20" s="40"/>
      <c r="Q20" s="40"/>
      <c r="R20" s="40"/>
      <c r="S20" s="40"/>
      <c r="T20" s="22" t="s">
        <v>145</v>
      </c>
      <c r="U20" s="40"/>
      <c r="V20" s="48"/>
      <c r="W20" s="21"/>
      <c r="X20" s="40"/>
      <c r="Y20" s="40"/>
      <c r="Z20" s="40"/>
      <c r="AA20" s="40"/>
      <c r="AB20" s="40"/>
      <c r="AC20" s="48"/>
      <c r="AD20" s="22" t="s">
        <v>163</v>
      </c>
      <c r="AE20" s="40"/>
      <c r="AF20" s="40"/>
      <c r="AG20" s="40"/>
      <c r="AH20" s="40"/>
      <c r="AI20" s="21"/>
      <c r="AJ20" s="48"/>
      <c r="AK20" s="225"/>
      <c r="AL20" s="23"/>
    </row>
    <row r="21" spans="1:42" s="11" customFormat="1" ht="16.5" customHeight="1">
      <c r="A21" s="230"/>
      <c r="B21" s="40"/>
      <c r="C21" s="40"/>
      <c r="D21" s="40"/>
      <c r="E21" s="40"/>
      <c r="F21" s="21"/>
      <c r="G21" s="171" t="s">
        <v>1395</v>
      </c>
      <c r="H21" s="48"/>
      <c r="I21" s="40"/>
      <c r="J21" s="21"/>
      <c r="K21" s="53"/>
      <c r="L21" s="40"/>
      <c r="M21" s="22" t="s">
        <v>135</v>
      </c>
      <c r="N21" s="40"/>
      <c r="O21" s="48"/>
      <c r="P21" s="40"/>
      <c r="Q21" s="40"/>
      <c r="R21" s="40"/>
      <c r="S21" s="40"/>
      <c r="T21" s="22" t="s">
        <v>146</v>
      </c>
      <c r="U21" s="40"/>
      <c r="V21" s="48"/>
      <c r="W21" s="21"/>
      <c r="X21" s="40"/>
      <c r="Y21" s="40"/>
      <c r="Z21" s="40"/>
      <c r="AA21" s="40"/>
      <c r="AB21" s="40"/>
      <c r="AC21" s="48"/>
      <c r="AD21" s="22" t="s">
        <v>171</v>
      </c>
      <c r="AE21" s="40"/>
      <c r="AF21" s="40"/>
      <c r="AG21" s="40"/>
      <c r="AH21" s="40"/>
      <c r="AI21" s="21"/>
      <c r="AJ21" s="48"/>
      <c r="AK21" s="225"/>
      <c r="AL21" s="23"/>
    </row>
    <row r="22" spans="1:42" s="11" customFormat="1" ht="16.5" customHeight="1">
      <c r="A22" s="230"/>
      <c r="B22" s="40"/>
      <c r="C22" s="40"/>
      <c r="D22" s="40"/>
      <c r="E22" s="40"/>
      <c r="F22" s="21"/>
      <c r="G22" s="171" t="s">
        <v>1396</v>
      </c>
      <c r="H22" s="48"/>
      <c r="I22" s="40"/>
      <c r="J22" s="21"/>
      <c r="K22" s="53"/>
      <c r="L22" s="40"/>
      <c r="M22" s="22" t="s">
        <v>136</v>
      </c>
      <c r="N22" s="40"/>
      <c r="O22" s="48"/>
      <c r="P22" s="40"/>
      <c r="Q22" s="40"/>
      <c r="R22" s="40"/>
      <c r="S22" s="40"/>
      <c r="T22" s="22" t="s">
        <v>147</v>
      </c>
      <c r="U22" s="40"/>
      <c r="V22" s="48"/>
      <c r="W22" s="21"/>
      <c r="X22" s="40"/>
      <c r="Y22" s="40"/>
      <c r="Z22" s="40"/>
      <c r="AA22" s="40"/>
      <c r="AB22" s="40"/>
      <c r="AC22" s="48"/>
      <c r="AD22" s="22" t="s">
        <v>172</v>
      </c>
      <c r="AE22" s="40"/>
      <c r="AF22" s="40"/>
      <c r="AG22" s="40"/>
      <c r="AH22" s="40"/>
      <c r="AI22" s="21"/>
      <c r="AJ22" s="48"/>
      <c r="AK22" s="225"/>
      <c r="AL22" s="23"/>
    </row>
    <row r="23" spans="1:42" s="11" customFormat="1" ht="16.5" customHeight="1">
      <c r="A23" s="230"/>
      <c r="B23" s="22"/>
      <c r="C23" s="40"/>
      <c r="D23" s="40"/>
      <c r="E23" s="40"/>
      <c r="F23" s="21"/>
      <c r="G23" s="171" t="s">
        <v>1397</v>
      </c>
      <c r="H23" s="48"/>
      <c r="I23" s="40"/>
      <c r="J23" s="21"/>
      <c r="K23" s="53"/>
      <c r="L23" s="40"/>
      <c r="M23" s="70" t="s">
        <v>109</v>
      </c>
      <c r="N23" s="40"/>
      <c r="O23" s="48"/>
      <c r="P23" s="40"/>
      <c r="Q23" s="40"/>
      <c r="R23" s="40"/>
      <c r="S23" s="40"/>
      <c r="T23" s="22" t="s">
        <v>148</v>
      </c>
      <c r="U23" s="40"/>
      <c r="V23" s="48"/>
      <c r="W23" s="21"/>
      <c r="X23" s="40"/>
      <c r="Y23" s="40"/>
      <c r="Z23" s="40"/>
      <c r="AA23" s="40"/>
      <c r="AB23" s="40"/>
      <c r="AC23" s="48"/>
      <c r="AD23" s="70" t="s">
        <v>109</v>
      </c>
      <c r="AE23" s="40"/>
      <c r="AF23" s="40"/>
      <c r="AG23" s="40"/>
      <c r="AH23" s="40"/>
      <c r="AI23" s="21"/>
      <c r="AJ23" s="48"/>
      <c r="AK23" s="225"/>
      <c r="AL23" s="23"/>
    </row>
    <row r="24" spans="1:42" s="11" customFormat="1" ht="16.5" customHeight="1">
      <c r="A24" s="230"/>
      <c r="B24" s="22"/>
      <c r="C24" s="40"/>
      <c r="D24" s="40"/>
      <c r="E24" s="40"/>
      <c r="F24" s="21"/>
      <c r="G24" s="171" t="s">
        <v>1398</v>
      </c>
      <c r="H24" s="48"/>
      <c r="I24" s="40"/>
      <c r="J24" s="21"/>
      <c r="K24" s="53"/>
      <c r="L24" s="40"/>
      <c r="M24" s="22" t="s">
        <v>110</v>
      </c>
      <c r="N24" s="40"/>
      <c r="O24" s="48"/>
      <c r="P24" s="40"/>
      <c r="Q24" s="40"/>
      <c r="R24" s="40"/>
      <c r="S24" s="40"/>
      <c r="T24" s="22" t="s">
        <v>144</v>
      </c>
      <c r="U24" s="40"/>
      <c r="V24" s="48"/>
      <c r="W24" s="21"/>
      <c r="X24" s="40"/>
      <c r="Y24" s="40"/>
      <c r="Z24" s="40"/>
      <c r="AA24" s="40"/>
      <c r="AB24" s="40"/>
      <c r="AC24" s="48"/>
      <c r="AD24" s="22" t="s">
        <v>176</v>
      </c>
      <c r="AE24" s="40"/>
      <c r="AF24" s="40"/>
      <c r="AG24" s="40"/>
      <c r="AH24" s="40"/>
      <c r="AI24" s="21"/>
      <c r="AJ24" s="48"/>
      <c r="AK24" s="225"/>
      <c r="AL24" s="23"/>
    </row>
    <row r="25" spans="1:42" s="11" customFormat="1" ht="16.5" customHeight="1">
      <c r="A25" s="230"/>
      <c r="B25" s="22"/>
      <c r="C25" s="40"/>
      <c r="D25" s="40"/>
      <c r="E25" s="40"/>
      <c r="F25" s="21"/>
      <c r="G25" s="171" t="s">
        <v>1399</v>
      </c>
      <c r="H25" s="48"/>
      <c r="I25" s="40"/>
      <c r="J25" s="21"/>
      <c r="K25" s="53"/>
      <c r="L25" s="40"/>
      <c r="M25" s="22" t="s">
        <v>111</v>
      </c>
      <c r="N25" s="40"/>
      <c r="O25" s="48"/>
      <c r="P25" s="40"/>
      <c r="Q25" s="40"/>
      <c r="R25" s="40"/>
      <c r="S25" s="40"/>
      <c r="T25" s="22" t="s">
        <v>149</v>
      </c>
      <c r="U25" s="40"/>
      <c r="V25" s="48"/>
      <c r="W25" s="21"/>
      <c r="X25" s="40"/>
      <c r="Y25" s="40"/>
      <c r="Z25" s="40"/>
      <c r="AA25" s="40"/>
      <c r="AB25" s="40"/>
      <c r="AC25" s="48"/>
      <c r="AD25" s="22" t="s">
        <v>177</v>
      </c>
      <c r="AE25" s="40"/>
      <c r="AF25" s="40"/>
      <c r="AG25" s="40"/>
      <c r="AH25" s="40"/>
      <c r="AI25" s="21"/>
      <c r="AJ25" s="48"/>
      <c r="AK25" s="225"/>
      <c r="AL25" s="23"/>
    </row>
    <row r="26" spans="1:42" s="11" customFormat="1" ht="16.5" customHeight="1">
      <c r="A26" s="230"/>
      <c r="B26" s="22"/>
      <c r="C26" s="40"/>
      <c r="D26" s="40"/>
      <c r="E26" s="21"/>
      <c r="F26" s="21"/>
      <c r="G26" s="195" t="s">
        <v>1365</v>
      </c>
      <c r="H26" s="48"/>
      <c r="I26" s="40"/>
      <c r="J26" s="21"/>
      <c r="K26" s="53"/>
      <c r="L26" s="40"/>
      <c r="M26" s="22" t="s">
        <v>112</v>
      </c>
      <c r="N26" s="40"/>
      <c r="O26" s="48"/>
      <c r="P26" s="40"/>
      <c r="Q26" s="40"/>
      <c r="R26" s="40"/>
      <c r="S26" s="40"/>
      <c r="T26" s="22" t="s">
        <v>150</v>
      </c>
      <c r="U26" s="40"/>
      <c r="V26" s="48"/>
      <c r="W26" s="21"/>
      <c r="X26" s="40"/>
      <c r="Y26" s="40"/>
      <c r="Z26" s="40"/>
      <c r="AA26" s="40"/>
      <c r="AB26" s="40"/>
      <c r="AC26" s="48"/>
      <c r="AE26" s="40"/>
      <c r="AF26" s="40"/>
      <c r="AG26" s="21"/>
      <c r="AH26" s="40"/>
      <c r="AI26" s="21"/>
      <c r="AJ26" s="48"/>
      <c r="AK26" s="225"/>
      <c r="AL26" s="23"/>
      <c r="AP26" s="40"/>
    </row>
    <row r="27" spans="1:42" s="11" customFormat="1" ht="16.5" customHeight="1">
      <c r="A27" s="230"/>
      <c r="B27" s="22"/>
      <c r="C27" s="22"/>
      <c r="D27" s="40"/>
      <c r="E27" s="21"/>
      <c r="F27" s="21"/>
      <c r="G27" s="70" t="s">
        <v>115</v>
      </c>
      <c r="H27" s="48"/>
      <c r="I27" s="40"/>
      <c r="J27" s="21"/>
      <c r="K27" s="53"/>
      <c r="L27" s="40"/>
      <c r="M27" s="21"/>
      <c r="N27" s="40"/>
      <c r="O27" s="48"/>
      <c r="P27" s="40"/>
      <c r="Q27" s="40"/>
      <c r="R27" s="40"/>
      <c r="S27" s="40"/>
      <c r="T27" s="22" t="s">
        <v>151</v>
      </c>
      <c r="U27" s="40"/>
      <c r="V27" s="48"/>
      <c r="W27" s="21"/>
      <c r="X27" s="40"/>
      <c r="Y27" s="40"/>
      <c r="Z27" s="40"/>
      <c r="AA27" s="40"/>
      <c r="AB27" s="40"/>
      <c r="AC27" s="48"/>
      <c r="AD27" s="40"/>
      <c r="AE27" s="40"/>
      <c r="AF27" s="40"/>
      <c r="AG27" s="21"/>
      <c r="AH27" s="40"/>
      <c r="AI27" s="21"/>
      <c r="AJ27" s="48"/>
      <c r="AK27" s="225"/>
      <c r="AL27" s="23"/>
    </row>
    <row r="28" spans="1:42" s="11" customFormat="1" ht="16.5" customHeight="1">
      <c r="A28" s="230"/>
      <c r="B28" s="22"/>
      <c r="C28" s="22"/>
      <c r="D28" s="40"/>
      <c r="E28" s="21"/>
      <c r="F28" s="21"/>
      <c r="G28" s="22" t="s">
        <v>116</v>
      </c>
      <c r="H28" s="48"/>
      <c r="I28" s="40"/>
      <c r="J28" s="21"/>
      <c r="K28" s="53"/>
      <c r="L28" s="40"/>
      <c r="M28" s="40"/>
      <c r="N28" s="21"/>
      <c r="O28" s="48"/>
      <c r="P28" s="40"/>
      <c r="Q28" s="40"/>
      <c r="R28" s="40"/>
      <c r="S28" s="40"/>
      <c r="T28" s="22" t="s">
        <v>159</v>
      </c>
      <c r="U28" s="40"/>
      <c r="V28" s="48"/>
      <c r="W28" s="21"/>
      <c r="X28" s="40"/>
      <c r="Y28" s="40"/>
      <c r="Z28" s="40"/>
      <c r="AA28" s="40"/>
      <c r="AB28" s="40"/>
      <c r="AC28" s="48"/>
      <c r="AD28" s="40"/>
      <c r="AE28" s="40"/>
      <c r="AF28" s="40"/>
      <c r="AG28" s="21"/>
      <c r="AH28" s="40"/>
      <c r="AI28" s="40"/>
      <c r="AJ28" s="48"/>
      <c r="AK28" s="225"/>
      <c r="AL28" s="23"/>
    </row>
    <row r="29" spans="1:42" s="11" customFormat="1" ht="16.5" customHeight="1">
      <c r="A29" s="230"/>
      <c r="B29" s="22"/>
      <c r="C29" s="22"/>
      <c r="D29" s="40"/>
      <c r="E29" s="21"/>
      <c r="F29" s="21"/>
      <c r="G29" s="22" t="s">
        <v>121</v>
      </c>
      <c r="H29" s="48"/>
      <c r="I29" s="40"/>
      <c r="J29" s="21"/>
      <c r="K29" s="53"/>
      <c r="L29" s="40"/>
      <c r="M29" s="40"/>
      <c r="N29" s="21"/>
      <c r="O29" s="48"/>
      <c r="P29" s="40"/>
      <c r="Q29" s="40"/>
      <c r="R29" s="40"/>
      <c r="S29" s="40"/>
      <c r="T29" s="22" t="s">
        <v>152</v>
      </c>
      <c r="U29" s="40"/>
      <c r="V29" s="48"/>
      <c r="W29" s="21"/>
      <c r="X29" s="40"/>
      <c r="Z29" s="40"/>
      <c r="AA29" s="40"/>
      <c r="AB29" s="40"/>
      <c r="AC29" s="48"/>
      <c r="AD29" s="40"/>
      <c r="AE29" s="40"/>
      <c r="AF29" s="40"/>
      <c r="AG29" s="21"/>
      <c r="AH29" s="22"/>
      <c r="AI29" s="40"/>
      <c r="AJ29" s="48"/>
      <c r="AK29" s="58"/>
      <c r="AL29" s="61"/>
    </row>
    <row r="30" spans="1:42" s="11" customFormat="1" ht="16.5" customHeight="1">
      <c r="A30" s="230"/>
      <c r="B30" s="91"/>
      <c r="C30" s="22"/>
      <c r="D30" s="40"/>
      <c r="E30" s="21"/>
      <c r="F30" s="21"/>
      <c r="G30" s="22" t="s">
        <v>122</v>
      </c>
      <c r="H30" s="48"/>
      <c r="I30" s="40"/>
      <c r="J30" s="21"/>
      <c r="K30" s="53"/>
      <c r="L30" s="40"/>
      <c r="M30" s="40"/>
      <c r="N30" s="40"/>
      <c r="O30" s="48"/>
      <c r="P30" s="40"/>
      <c r="Q30" s="40"/>
      <c r="R30" s="40"/>
      <c r="S30" s="40"/>
      <c r="T30" s="22" t="s">
        <v>153</v>
      </c>
      <c r="U30" s="40"/>
      <c r="V30" s="48"/>
      <c r="W30" s="21"/>
      <c r="X30" s="40"/>
      <c r="Y30" s="40"/>
      <c r="Z30" s="40"/>
      <c r="AA30" s="40"/>
      <c r="AB30" s="40"/>
      <c r="AC30" s="48"/>
      <c r="AD30" s="40"/>
      <c r="AE30" s="40"/>
      <c r="AF30" s="40"/>
      <c r="AG30" s="21"/>
      <c r="AH30" s="91"/>
      <c r="AI30" s="40"/>
      <c r="AJ30" s="48"/>
      <c r="AK30" s="156"/>
      <c r="AL30" s="61"/>
    </row>
    <row r="31" spans="1:42" s="11" customFormat="1" ht="16.5" customHeight="1">
      <c r="A31" s="230"/>
      <c r="B31" s="91"/>
      <c r="C31" s="22"/>
      <c r="D31" s="40"/>
      <c r="E31" s="21"/>
      <c r="F31" s="21"/>
      <c r="G31" s="22" t="s">
        <v>123</v>
      </c>
      <c r="H31" s="48"/>
      <c r="I31" s="40"/>
      <c r="J31" s="21"/>
      <c r="K31" s="53"/>
      <c r="L31" s="40"/>
      <c r="M31" s="40"/>
      <c r="N31" s="40"/>
      <c r="O31" s="48"/>
      <c r="P31" s="40"/>
      <c r="Q31" s="40"/>
      <c r="R31" s="40"/>
      <c r="S31" s="40"/>
      <c r="T31" s="22" t="s">
        <v>154</v>
      </c>
      <c r="U31" s="40"/>
      <c r="V31" s="48"/>
      <c r="W31" s="21"/>
      <c r="X31" s="40"/>
      <c r="Y31" s="40"/>
      <c r="Z31" s="40"/>
      <c r="AA31" s="40"/>
      <c r="AB31" s="40"/>
      <c r="AC31" s="48"/>
      <c r="AD31" s="40"/>
      <c r="AE31" s="40"/>
      <c r="AF31" s="40"/>
      <c r="AG31" s="21"/>
      <c r="AH31" s="91"/>
      <c r="AI31" s="21"/>
      <c r="AJ31" s="48"/>
      <c r="AK31" s="156"/>
      <c r="AL31" s="61"/>
    </row>
    <row r="32" spans="1:42" s="11" customFormat="1" ht="16.5" customHeight="1">
      <c r="A32" s="230"/>
      <c r="B32" s="91"/>
      <c r="C32" s="22"/>
      <c r="D32" s="40"/>
      <c r="E32" s="21"/>
      <c r="F32" s="21"/>
      <c r="G32" s="22" t="s">
        <v>124</v>
      </c>
      <c r="H32" s="48"/>
      <c r="I32" s="40"/>
      <c r="J32" s="21"/>
      <c r="K32" s="53"/>
      <c r="L32" s="40"/>
      <c r="M32" s="40"/>
      <c r="N32" s="40"/>
      <c r="O32" s="48"/>
      <c r="P32" s="40"/>
      <c r="Q32" s="40"/>
      <c r="R32" s="40"/>
      <c r="S32" s="40"/>
      <c r="T32" s="40"/>
      <c r="U32" s="40"/>
      <c r="V32" s="48"/>
      <c r="W32" s="21"/>
      <c r="X32" s="40"/>
      <c r="Y32" s="40"/>
      <c r="Z32" s="40"/>
      <c r="AA32" s="40"/>
      <c r="AB32" s="40"/>
      <c r="AC32" s="48"/>
      <c r="AD32" s="40"/>
      <c r="AE32" s="40"/>
      <c r="AF32" s="40"/>
      <c r="AG32" s="21"/>
      <c r="AH32" s="91"/>
      <c r="AI32" s="21"/>
      <c r="AJ32" s="48"/>
      <c r="AK32" s="156"/>
      <c r="AL32" s="61"/>
    </row>
    <row r="33" spans="1:43" s="11" customFormat="1" ht="16.5" customHeight="1">
      <c r="A33" s="230"/>
      <c r="B33" s="91"/>
      <c r="C33" s="22"/>
      <c r="D33" s="40"/>
      <c r="E33" s="21"/>
      <c r="F33" s="21"/>
      <c r="G33" s="22" t="s">
        <v>125</v>
      </c>
      <c r="H33" s="48"/>
      <c r="I33" s="40"/>
      <c r="J33" s="21"/>
      <c r="K33" s="53"/>
      <c r="L33" s="40"/>
      <c r="M33" s="40"/>
      <c r="N33" s="21"/>
      <c r="O33" s="48"/>
      <c r="P33" s="40"/>
      <c r="Q33" s="40"/>
      <c r="R33" s="40"/>
      <c r="S33" s="40"/>
      <c r="T33" s="40"/>
      <c r="U33" s="40"/>
      <c r="V33" s="48"/>
      <c r="W33" s="21"/>
      <c r="X33" s="40"/>
      <c r="Y33" s="40"/>
      <c r="Z33" s="40"/>
      <c r="AA33" s="40"/>
      <c r="AB33" s="40"/>
      <c r="AC33" s="48"/>
      <c r="AD33" s="40"/>
      <c r="AE33" s="40"/>
      <c r="AF33" s="40"/>
      <c r="AG33" s="21"/>
      <c r="AH33" s="91"/>
      <c r="AI33" s="21"/>
      <c r="AJ33" s="48"/>
      <c r="AK33" s="156"/>
      <c r="AL33" s="61"/>
    </row>
    <row r="34" spans="1:43" s="11" customFormat="1" ht="16.5" customHeight="1">
      <c r="A34" s="230"/>
      <c r="B34" s="91"/>
      <c r="C34" s="22"/>
      <c r="D34" s="40"/>
      <c r="E34" s="21"/>
      <c r="F34" s="21"/>
      <c r="G34" s="22" t="s">
        <v>126</v>
      </c>
      <c r="H34" s="48"/>
      <c r="I34" s="40"/>
      <c r="J34" s="21"/>
      <c r="K34" s="53"/>
      <c r="L34" s="40"/>
      <c r="M34" s="40"/>
      <c r="N34" s="21"/>
      <c r="O34" s="48"/>
      <c r="P34" s="40"/>
      <c r="Q34" s="40"/>
      <c r="R34" s="40"/>
      <c r="S34" s="40"/>
      <c r="T34" s="40"/>
      <c r="U34" s="40"/>
      <c r="V34" s="48"/>
      <c r="W34" s="21"/>
      <c r="X34" s="40"/>
      <c r="Y34" s="40"/>
      <c r="Z34" s="40"/>
      <c r="AA34" s="40"/>
      <c r="AB34" s="40"/>
      <c r="AC34" s="48"/>
      <c r="AD34" s="40"/>
      <c r="AE34" s="40"/>
      <c r="AF34" s="40"/>
      <c r="AG34" s="21"/>
      <c r="AH34" s="91"/>
      <c r="AI34" s="21"/>
      <c r="AJ34" s="48"/>
      <c r="AK34" s="156"/>
      <c r="AL34" s="61"/>
    </row>
    <row r="35" spans="1:43" s="11" customFormat="1" ht="16.5" customHeight="1">
      <c r="A35" s="230"/>
      <c r="B35" s="91"/>
      <c r="C35" s="22"/>
      <c r="D35" s="40"/>
      <c r="E35" s="21"/>
      <c r="F35" s="21"/>
      <c r="G35" s="22" t="s">
        <v>127</v>
      </c>
      <c r="H35" s="48"/>
      <c r="I35" s="40"/>
      <c r="J35" s="21"/>
      <c r="K35" s="53"/>
      <c r="L35" s="40"/>
      <c r="M35" s="40"/>
      <c r="N35" s="21"/>
      <c r="O35" s="48"/>
      <c r="P35" s="40"/>
      <c r="Q35" s="40"/>
      <c r="R35" s="40"/>
      <c r="S35" s="40"/>
      <c r="T35" s="40"/>
      <c r="U35" s="40"/>
      <c r="V35" s="48"/>
      <c r="W35" s="21"/>
      <c r="X35" s="40"/>
      <c r="Y35" s="40"/>
      <c r="Z35" s="40"/>
      <c r="AA35" s="40"/>
      <c r="AB35" s="40"/>
      <c r="AC35" s="48"/>
      <c r="AD35" s="40"/>
      <c r="AE35" s="40"/>
      <c r="AF35" s="40"/>
      <c r="AG35" s="21"/>
      <c r="AH35" s="91"/>
      <c r="AI35" s="97"/>
      <c r="AJ35" s="48"/>
      <c r="AK35" s="156"/>
      <c r="AL35" s="61"/>
    </row>
    <row r="36" spans="1:43" s="11" customFormat="1" ht="16.5" customHeight="1">
      <c r="A36" s="230"/>
      <c r="B36" s="24"/>
      <c r="C36" s="56"/>
      <c r="D36" s="24"/>
      <c r="E36" s="56"/>
      <c r="F36" s="24"/>
      <c r="G36" s="233">
        <f>301+316+300+677+190+495+180+150+370+961+318+250+496+900+318+305+330+325+314+326+321+350</f>
        <v>8493</v>
      </c>
      <c r="H36" s="234"/>
      <c r="I36" s="233"/>
      <c r="J36" s="234"/>
      <c r="K36" s="24"/>
      <c r="L36" s="245">
        <f>305+318+326+314+330+321+325+2614+406+500+425+310+334+388+300+300</f>
        <v>7816</v>
      </c>
      <c r="M36" s="245"/>
      <c r="N36" s="24"/>
      <c r="O36" s="25"/>
      <c r="P36" s="56"/>
      <c r="Q36" s="24"/>
      <c r="R36" s="24"/>
      <c r="S36" s="56"/>
      <c r="T36" s="233">
        <f>1222+465+300+300+300+300+349+365+326+300+300+300+451+425+227+420+900+135+390+1872+970</f>
        <v>10617</v>
      </c>
      <c r="U36" s="234"/>
      <c r="V36" s="25"/>
      <c r="W36" s="24"/>
      <c r="X36" s="24"/>
      <c r="Y36" s="24"/>
      <c r="Z36" s="56"/>
      <c r="AA36" s="24"/>
      <c r="AB36" s="24"/>
      <c r="AC36" s="25"/>
      <c r="AD36" s="233">
        <f>166+309+267+1011+750+393+393+300+300+820+1878+574+585+405+582</f>
        <v>8733</v>
      </c>
      <c r="AE36" s="234"/>
      <c r="AF36" s="56"/>
      <c r="AG36" s="24"/>
      <c r="AH36" s="24"/>
      <c r="AI36" s="24"/>
      <c r="AJ36" s="24"/>
      <c r="AK36" s="24"/>
      <c r="AL36" s="64"/>
    </row>
    <row r="37" spans="1:43" s="11" customFormat="1" ht="2.25" customHeight="1">
      <c r="A37" s="26"/>
      <c r="B37" s="27"/>
      <c r="C37" s="27"/>
      <c r="D37" s="27"/>
      <c r="E37" s="28"/>
      <c r="F37" s="27"/>
      <c r="G37" s="27"/>
      <c r="H37" s="29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30"/>
    </row>
    <row r="38" spans="1:43" s="11" customFormat="1" ht="19.5" customHeight="1">
      <c r="A38" s="12" t="s">
        <v>0</v>
      </c>
      <c r="B38" s="16"/>
      <c r="C38" s="16"/>
      <c r="D38" s="16"/>
      <c r="E38" s="16"/>
      <c r="F38" s="16"/>
      <c r="G38" s="16">
        <v>1160</v>
      </c>
      <c r="H38" s="25"/>
      <c r="I38" s="16">
        <v>1160</v>
      </c>
      <c r="J38" s="16">
        <v>1600</v>
      </c>
      <c r="K38" s="16">
        <v>1600</v>
      </c>
      <c r="L38" s="16">
        <v>1600</v>
      </c>
      <c r="M38" s="68">
        <v>1390</v>
      </c>
      <c r="N38" s="68">
        <v>1010</v>
      </c>
      <c r="O38" s="25"/>
      <c r="P38" s="16">
        <v>1120</v>
      </c>
      <c r="Q38" s="68">
        <v>1200</v>
      </c>
      <c r="R38" s="16">
        <v>1540</v>
      </c>
      <c r="S38" s="16">
        <v>1330</v>
      </c>
      <c r="T38" s="16">
        <v>1540</v>
      </c>
      <c r="U38" s="16">
        <v>1330</v>
      </c>
      <c r="V38" s="25"/>
      <c r="W38" s="16">
        <v>1330</v>
      </c>
      <c r="X38" s="68">
        <v>1240</v>
      </c>
      <c r="Y38" s="16">
        <v>1380</v>
      </c>
      <c r="Z38" s="16">
        <v>1380</v>
      </c>
      <c r="AA38" s="16">
        <v>1380</v>
      </c>
      <c r="AB38" s="16">
        <v>1380</v>
      </c>
      <c r="AC38" s="25"/>
      <c r="AD38" s="16">
        <v>1380</v>
      </c>
      <c r="AE38" s="16">
        <v>1380</v>
      </c>
      <c r="AF38" s="16">
        <v>1380</v>
      </c>
      <c r="AG38" s="68">
        <v>1150</v>
      </c>
      <c r="AH38" s="16">
        <v>1280</v>
      </c>
      <c r="AI38" s="16">
        <v>1080</v>
      </c>
      <c r="AJ38" s="25"/>
      <c r="AK38" s="16">
        <v>1080</v>
      </c>
      <c r="AL38" s="129">
        <v>1080</v>
      </c>
      <c r="AM38" s="17">
        <f>+SUM(B38:AL38)</f>
        <v>35480</v>
      </c>
    </row>
    <row r="39" spans="1:43" s="17" customFormat="1" ht="19.5" customHeight="1">
      <c r="A39" s="12" t="s">
        <v>18</v>
      </c>
      <c r="B39" s="122">
        <v>11</v>
      </c>
      <c r="C39" s="122">
        <v>11</v>
      </c>
      <c r="D39" s="122">
        <v>11</v>
      </c>
      <c r="E39" s="122">
        <v>11</v>
      </c>
      <c r="F39" s="122">
        <v>8</v>
      </c>
      <c r="G39" s="122">
        <v>8</v>
      </c>
      <c r="H39" s="25"/>
      <c r="I39" s="18">
        <v>11</v>
      </c>
      <c r="J39" s="18">
        <v>11</v>
      </c>
      <c r="K39" s="18">
        <v>11</v>
      </c>
      <c r="L39" s="18">
        <v>11</v>
      </c>
      <c r="M39" s="18">
        <v>8</v>
      </c>
      <c r="N39" s="18">
        <v>8</v>
      </c>
      <c r="O39" s="25"/>
      <c r="P39" s="18">
        <v>9.5</v>
      </c>
      <c r="Q39" s="18">
        <v>11</v>
      </c>
      <c r="R39" s="18">
        <v>9.5</v>
      </c>
      <c r="S39" s="18">
        <v>11</v>
      </c>
      <c r="T39" s="18">
        <v>9.5</v>
      </c>
      <c r="U39" s="18">
        <v>9.5</v>
      </c>
      <c r="V39" s="25"/>
      <c r="W39" s="192">
        <v>9.5</v>
      </c>
      <c r="X39" s="192">
        <v>9.5</v>
      </c>
      <c r="Y39" s="192">
        <v>9.5</v>
      </c>
      <c r="Z39" s="192">
        <v>9.5</v>
      </c>
      <c r="AA39" s="192">
        <v>9.5</v>
      </c>
      <c r="AB39" s="192">
        <v>9.5</v>
      </c>
      <c r="AC39" s="193"/>
      <c r="AD39" s="192">
        <v>9.5</v>
      </c>
      <c r="AE39" s="192">
        <v>9.5</v>
      </c>
      <c r="AF39" s="192">
        <v>9.5</v>
      </c>
      <c r="AG39" s="192">
        <v>9.5</v>
      </c>
      <c r="AH39" s="18">
        <v>8</v>
      </c>
      <c r="AI39" s="18">
        <v>8</v>
      </c>
      <c r="AJ39" s="25"/>
      <c r="AK39" s="18">
        <v>8</v>
      </c>
      <c r="AL39" s="18">
        <v>8</v>
      </c>
    </row>
    <row r="40" spans="1:43" s="17" customFormat="1" ht="17.25" customHeight="1">
      <c r="A40" s="2" t="s">
        <v>19</v>
      </c>
      <c r="B40" s="41"/>
      <c r="C40" s="41"/>
      <c r="D40" s="41"/>
      <c r="E40" s="41"/>
      <c r="F40" s="41"/>
      <c r="G40" s="71" t="s">
        <v>345</v>
      </c>
      <c r="H40" s="25"/>
      <c r="I40" s="41"/>
      <c r="J40" s="41"/>
      <c r="K40" s="41"/>
      <c r="L40" s="41"/>
      <c r="M40" s="71" t="s">
        <v>98</v>
      </c>
      <c r="N40" s="71" t="s">
        <v>98</v>
      </c>
      <c r="O40" s="25"/>
      <c r="P40" s="41"/>
      <c r="Q40" s="71" t="s">
        <v>98</v>
      </c>
      <c r="R40" s="41"/>
      <c r="S40" s="41"/>
      <c r="T40" s="41"/>
      <c r="U40" s="41"/>
      <c r="V40" s="25"/>
      <c r="W40" s="41"/>
      <c r="X40" s="71" t="s">
        <v>345</v>
      </c>
      <c r="Y40" s="41"/>
      <c r="Z40" s="41"/>
      <c r="AA40" s="41"/>
      <c r="AB40" s="41"/>
      <c r="AC40" s="25"/>
      <c r="AD40" s="41"/>
      <c r="AE40" s="41"/>
      <c r="AF40" s="41"/>
      <c r="AG40" s="71" t="s">
        <v>317</v>
      </c>
      <c r="AH40" s="71"/>
      <c r="AI40" s="41"/>
      <c r="AJ40" s="25"/>
      <c r="AK40" s="41"/>
      <c r="AL40" s="173"/>
      <c r="AM40" s="11"/>
      <c r="AN40" s="11"/>
      <c r="AO40" s="11"/>
      <c r="AP40" s="11"/>
      <c r="AQ40" s="11"/>
    </row>
    <row r="41" spans="1:43" s="17" customFormat="1" ht="17.25" customHeight="1">
      <c r="A41" s="2" t="s">
        <v>20</v>
      </c>
      <c r="B41" s="20"/>
      <c r="C41" s="20"/>
      <c r="D41" s="20"/>
      <c r="E41" s="20"/>
      <c r="F41" s="20"/>
      <c r="G41" s="20"/>
      <c r="H41" s="25"/>
      <c r="I41" s="20"/>
      <c r="J41" s="20"/>
      <c r="K41" s="20"/>
      <c r="L41" s="20"/>
      <c r="M41" s="20">
        <v>0.9</v>
      </c>
      <c r="N41" s="20">
        <v>0.9</v>
      </c>
      <c r="O41" s="25"/>
      <c r="P41" s="20"/>
      <c r="Q41" s="20">
        <v>0.9</v>
      </c>
      <c r="R41" s="20"/>
      <c r="S41" s="20"/>
      <c r="T41" s="20"/>
      <c r="U41" s="20"/>
      <c r="V41" s="25"/>
      <c r="W41" s="20"/>
      <c r="X41" s="20">
        <v>0.9</v>
      </c>
      <c r="Y41" s="20"/>
      <c r="Z41" s="20"/>
      <c r="AA41" s="20"/>
      <c r="AB41" s="20"/>
      <c r="AC41" s="25"/>
      <c r="AD41" s="20"/>
      <c r="AE41" s="20"/>
      <c r="AF41" s="20"/>
      <c r="AG41" s="20">
        <v>0.9</v>
      </c>
      <c r="AH41" s="20"/>
      <c r="AI41" s="20"/>
      <c r="AJ41" s="25"/>
      <c r="AK41" s="20"/>
      <c r="AL41" s="169"/>
      <c r="AM41" s="11"/>
      <c r="AN41" s="11"/>
      <c r="AO41" s="11"/>
      <c r="AP41" s="11"/>
      <c r="AQ41" s="11"/>
    </row>
    <row r="42" spans="1:43" s="11" customFormat="1" ht="16.5" customHeight="1">
      <c r="A42" s="229" t="s">
        <v>52</v>
      </c>
      <c r="B42" s="46"/>
      <c r="C42" s="49"/>
      <c r="D42" s="40"/>
      <c r="E42" s="47"/>
      <c r="F42" s="47"/>
      <c r="G42" s="50" t="s">
        <v>852</v>
      </c>
      <c r="H42" s="48"/>
      <c r="J42" s="47"/>
      <c r="K42" s="50"/>
      <c r="L42" s="40"/>
      <c r="M42" s="50" t="s">
        <v>1302</v>
      </c>
      <c r="O42" s="48"/>
      <c r="P42" s="40"/>
      <c r="Q42" s="22"/>
      <c r="R42" s="40"/>
      <c r="S42" s="40"/>
      <c r="T42" s="40"/>
      <c r="U42" s="40"/>
      <c r="V42" s="48"/>
      <c r="W42" s="40"/>
      <c r="X42" s="50" t="s">
        <v>815</v>
      </c>
      <c r="Y42" s="40"/>
      <c r="Z42" s="40"/>
      <c r="AB42" s="54"/>
      <c r="AC42" s="48"/>
      <c r="AD42" s="40"/>
      <c r="AE42" s="40"/>
      <c r="AF42" s="40"/>
      <c r="AG42" s="70" t="s">
        <v>1300</v>
      </c>
      <c r="AI42" s="40"/>
      <c r="AJ42" s="48"/>
      <c r="AK42" s="62"/>
      <c r="AL42" s="61"/>
    </row>
    <row r="43" spans="1:43" s="11" customFormat="1" ht="16.5" customHeight="1">
      <c r="A43" s="230"/>
      <c r="B43" s="22"/>
      <c r="C43" s="22"/>
      <c r="D43" s="40"/>
      <c r="E43" s="21"/>
      <c r="F43" s="21"/>
      <c r="G43" s="171" t="s">
        <v>1400</v>
      </c>
      <c r="H43" s="48"/>
      <c r="I43" s="40"/>
      <c r="J43" s="21"/>
      <c r="K43" s="22"/>
      <c r="L43" s="40"/>
      <c r="M43" s="22" t="s">
        <v>737</v>
      </c>
      <c r="N43" s="40"/>
      <c r="O43" s="48"/>
      <c r="P43" s="40"/>
      <c r="Q43" s="40"/>
      <c r="R43" s="40"/>
      <c r="S43" s="40"/>
      <c r="T43" s="40"/>
      <c r="U43" s="40"/>
      <c r="V43" s="48"/>
      <c r="W43" s="40"/>
      <c r="X43" s="171" t="s">
        <v>1592</v>
      </c>
      <c r="Y43" s="40"/>
      <c r="Z43" s="40"/>
      <c r="AA43" s="40"/>
      <c r="AB43" s="40"/>
      <c r="AC43" s="48"/>
      <c r="AD43" s="40"/>
      <c r="AE43" s="40"/>
      <c r="AF43" s="40"/>
      <c r="AG43" s="22" t="s">
        <v>164</v>
      </c>
      <c r="AI43" s="40"/>
      <c r="AJ43" s="48"/>
      <c r="AK43" s="58"/>
      <c r="AL43" s="61"/>
    </row>
    <row r="44" spans="1:43" s="11" customFormat="1" ht="16.5" customHeight="1">
      <c r="A44" s="230"/>
      <c r="B44" s="22"/>
      <c r="C44" s="22"/>
      <c r="D44" s="40"/>
      <c r="E44" s="21"/>
      <c r="F44" s="40"/>
      <c r="G44" s="171" t="s">
        <v>1401</v>
      </c>
      <c r="H44" s="48"/>
      <c r="I44" s="40"/>
      <c r="J44" s="21"/>
      <c r="K44" s="22"/>
      <c r="L44" s="40"/>
      <c r="M44" s="52" t="s">
        <v>360</v>
      </c>
      <c r="N44" s="40"/>
      <c r="O44" s="48"/>
      <c r="P44" s="40"/>
      <c r="Q44" s="40"/>
      <c r="R44" s="40"/>
      <c r="S44" s="40"/>
      <c r="T44" s="40"/>
      <c r="U44" s="40"/>
      <c r="V44" s="48"/>
      <c r="W44" s="40"/>
      <c r="X44" s="171" t="s">
        <v>1631</v>
      </c>
      <c r="Y44" s="40"/>
      <c r="Z44" s="40"/>
      <c r="AA44" s="40"/>
      <c r="AB44" s="40"/>
      <c r="AC44" s="48"/>
      <c r="AD44" s="40"/>
      <c r="AE44" s="40"/>
      <c r="AF44" s="40"/>
      <c r="AG44" s="22" t="s">
        <v>165</v>
      </c>
      <c r="AI44" s="40"/>
      <c r="AJ44" s="48"/>
      <c r="AK44" s="58"/>
      <c r="AL44" s="61"/>
    </row>
    <row r="45" spans="1:43" s="11" customFormat="1" ht="16.5" customHeight="1">
      <c r="A45" s="230"/>
      <c r="B45" s="22"/>
      <c r="C45" s="55"/>
      <c r="D45" s="40"/>
      <c r="E45" s="21"/>
      <c r="F45" s="40"/>
      <c r="G45" s="171" t="s">
        <v>1402</v>
      </c>
      <c r="H45" s="48"/>
      <c r="I45" s="40"/>
      <c r="J45" s="40"/>
      <c r="K45" s="22"/>
      <c r="L45" s="40"/>
      <c r="M45" s="22" t="s">
        <v>361</v>
      </c>
      <c r="N45" s="40"/>
      <c r="O45" s="48"/>
      <c r="P45" s="40"/>
      <c r="Q45" s="40"/>
      <c r="R45" s="40"/>
      <c r="S45" s="40"/>
      <c r="T45" s="40"/>
      <c r="U45" s="40"/>
      <c r="V45" s="48"/>
      <c r="W45" s="40"/>
      <c r="X45" s="171" t="s">
        <v>1603</v>
      </c>
      <c r="Y45" s="40"/>
      <c r="Z45" s="40"/>
      <c r="AA45" s="42"/>
      <c r="AB45" s="40"/>
      <c r="AC45" s="48"/>
      <c r="AD45" s="40"/>
      <c r="AE45" s="40"/>
      <c r="AF45" s="40"/>
      <c r="AG45" s="22" t="s">
        <v>166</v>
      </c>
      <c r="AI45" s="40"/>
      <c r="AJ45" s="48"/>
      <c r="AK45" s="58"/>
      <c r="AL45" s="61"/>
    </row>
    <row r="46" spans="1:43" s="11" customFormat="1" ht="16.5" customHeight="1">
      <c r="A46" s="230"/>
      <c r="B46" s="22"/>
      <c r="C46" s="22"/>
      <c r="D46" s="40"/>
      <c r="E46" s="21"/>
      <c r="F46" s="40"/>
      <c r="G46" s="196" t="s">
        <v>1403</v>
      </c>
      <c r="H46" s="48"/>
      <c r="I46" s="40"/>
      <c r="J46" s="40"/>
      <c r="K46" s="53"/>
      <c r="L46" s="40"/>
      <c r="M46" s="22" t="s">
        <v>362</v>
      </c>
      <c r="N46" s="40"/>
      <c r="O46" s="48"/>
      <c r="P46" s="40"/>
      <c r="Q46" s="40"/>
      <c r="R46" s="40"/>
      <c r="S46" s="40"/>
      <c r="T46" s="40"/>
      <c r="U46" s="40"/>
      <c r="V46" s="48"/>
      <c r="W46" s="40"/>
      <c r="X46" s="171" t="s">
        <v>1604</v>
      </c>
      <c r="Y46" s="40"/>
      <c r="Z46" s="40"/>
      <c r="AA46" s="42"/>
      <c r="AB46" s="40"/>
      <c r="AC46" s="48"/>
      <c r="AD46" s="40"/>
      <c r="AE46" s="40"/>
      <c r="AF46" s="40"/>
      <c r="AG46" s="22" t="s">
        <v>167</v>
      </c>
      <c r="AI46" s="40"/>
      <c r="AJ46" s="48"/>
      <c r="AK46" s="58"/>
      <c r="AL46" s="61"/>
      <c r="AO46" s="54"/>
    </row>
    <row r="47" spans="1:43" s="11" customFormat="1" ht="16.5" customHeight="1">
      <c r="A47" s="230"/>
      <c r="B47" s="22"/>
      <c r="C47" s="40"/>
      <c r="D47" s="40"/>
      <c r="E47" s="21"/>
      <c r="F47" s="40"/>
      <c r="G47" s="50" t="s">
        <v>833</v>
      </c>
      <c r="H47" s="48"/>
      <c r="I47" s="40"/>
      <c r="J47" s="40"/>
      <c r="K47" s="53"/>
      <c r="L47" s="40"/>
      <c r="M47" s="54" t="s">
        <v>352</v>
      </c>
      <c r="N47" s="40"/>
      <c r="O47" s="48"/>
      <c r="P47" s="40"/>
      <c r="Q47" s="40"/>
      <c r="R47" s="40"/>
      <c r="S47" s="40"/>
      <c r="T47" s="40"/>
      <c r="U47" s="40"/>
      <c r="V47" s="48"/>
      <c r="W47" s="40"/>
      <c r="X47" s="171" t="s">
        <v>1632</v>
      </c>
      <c r="Y47" s="40"/>
      <c r="Z47" s="40"/>
      <c r="AA47" s="40"/>
      <c r="AB47" s="40"/>
      <c r="AC47" s="48"/>
      <c r="AD47" s="40"/>
      <c r="AE47" s="40"/>
      <c r="AF47" s="40"/>
      <c r="AG47" s="22" t="s">
        <v>155</v>
      </c>
      <c r="AI47" s="40"/>
      <c r="AJ47" s="48"/>
      <c r="AK47" s="58"/>
      <c r="AL47" s="61"/>
      <c r="AO47" s="182"/>
    </row>
    <row r="48" spans="1:43" s="11" customFormat="1" ht="16.5" customHeight="1">
      <c r="A48" s="230"/>
      <c r="B48" s="22"/>
      <c r="C48" s="40"/>
      <c r="D48" s="40"/>
      <c r="E48" s="21"/>
      <c r="F48" s="40"/>
      <c r="G48" s="171" t="s">
        <v>1404</v>
      </c>
      <c r="H48" s="48"/>
      <c r="I48" s="40"/>
      <c r="J48" s="40"/>
      <c r="K48" s="53"/>
      <c r="L48" s="40"/>
      <c r="M48" s="96" t="s">
        <v>928</v>
      </c>
      <c r="N48" s="40"/>
      <c r="O48" s="48"/>
      <c r="P48" s="40"/>
      <c r="Q48" s="40"/>
      <c r="R48" s="40"/>
      <c r="S48" s="40"/>
      <c r="T48" s="40"/>
      <c r="U48" s="40"/>
      <c r="V48" s="48"/>
      <c r="W48" s="40"/>
      <c r="X48" s="171" t="s">
        <v>1583</v>
      </c>
      <c r="Y48" s="40"/>
      <c r="Z48" s="40"/>
      <c r="AA48" s="40"/>
      <c r="AB48" s="40"/>
      <c r="AC48" s="48"/>
      <c r="AD48" s="40"/>
      <c r="AE48" s="40"/>
      <c r="AF48" s="40"/>
      <c r="AG48" s="22" t="s">
        <v>169</v>
      </c>
      <c r="AI48" s="40"/>
      <c r="AJ48" s="48"/>
      <c r="AK48" s="58"/>
      <c r="AL48" s="61"/>
      <c r="AO48" s="183"/>
    </row>
    <row r="49" spans="1:38" s="11" customFormat="1" ht="16.5" customHeight="1">
      <c r="A49" s="230"/>
      <c r="B49" s="22"/>
      <c r="C49" s="40"/>
      <c r="D49" s="40"/>
      <c r="E49" s="21"/>
      <c r="F49" s="40"/>
      <c r="G49" s="171" t="s">
        <v>1405</v>
      </c>
      <c r="H49" s="48"/>
      <c r="I49" s="40"/>
      <c r="J49" s="40"/>
      <c r="K49" s="22"/>
      <c r="L49" s="40"/>
      <c r="M49" s="96" t="s">
        <v>929</v>
      </c>
      <c r="N49" s="40"/>
      <c r="O49" s="48"/>
      <c r="P49" s="40"/>
      <c r="Q49" s="40"/>
      <c r="R49" s="40"/>
      <c r="S49" s="40"/>
      <c r="T49" s="40"/>
      <c r="U49" s="40"/>
      <c r="V49" s="48"/>
      <c r="W49" s="40"/>
      <c r="X49" s="171" t="s">
        <v>1584</v>
      </c>
      <c r="Y49" s="40"/>
      <c r="Z49" s="40"/>
      <c r="AA49" s="40"/>
      <c r="AB49" s="40"/>
      <c r="AC49" s="48"/>
      <c r="AD49" s="40"/>
      <c r="AE49" s="40"/>
      <c r="AF49" s="40"/>
      <c r="AG49" s="22" t="s">
        <v>170</v>
      </c>
      <c r="AI49" s="40"/>
      <c r="AJ49" s="48"/>
      <c r="AK49" s="58"/>
      <c r="AL49" s="61"/>
    </row>
    <row r="50" spans="1:38" s="11" customFormat="1" ht="17.5">
      <c r="A50" s="230"/>
      <c r="B50" s="22"/>
      <c r="C50" s="22"/>
      <c r="D50" s="40"/>
      <c r="E50" s="203"/>
      <c r="F50" s="40"/>
      <c r="G50" s="213" t="s">
        <v>1633</v>
      </c>
      <c r="H50" s="48"/>
      <c r="I50" s="40"/>
      <c r="J50" s="40"/>
      <c r="K50" s="53"/>
      <c r="L50" s="40"/>
      <c r="M50" s="96" t="s">
        <v>930</v>
      </c>
      <c r="N50" s="40"/>
      <c r="O50" s="48"/>
      <c r="P50" s="40"/>
      <c r="Q50" s="40"/>
      <c r="R50" s="40"/>
      <c r="S50" s="54"/>
      <c r="T50" s="40"/>
      <c r="U50" s="40"/>
      <c r="V50" s="48"/>
      <c r="W50" s="40"/>
      <c r="X50" s="171" t="s">
        <v>1581</v>
      </c>
      <c r="Z50" s="40"/>
      <c r="AA50" s="40"/>
      <c r="AB50" s="40"/>
      <c r="AC50" s="48"/>
      <c r="AD50" s="40"/>
      <c r="AE50" s="40"/>
      <c r="AG50" s="22" t="s">
        <v>168</v>
      </c>
      <c r="AI50" s="40"/>
      <c r="AJ50" s="48"/>
      <c r="AL50" s="61"/>
    </row>
    <row r="51" spans="1:38" s="11" customFormat="1" ht="16.5" customHeight="1">
      <c r="A51" s="230"/>
      <c r="B51" s="22"/>
      <c r="C51" s="22"/>
      <c r="D51" s="40"/>
      <c r="E51" s="21"/>
      <c r="F51" s="40"/>
      <c r="G51" s="40"/>
      <c r="H51" s="48"/>
      <c r="I51" s="40"/>
      <c r="J51" s="40"/>
      <c r="K51" s="53"/>
      <c r="L51" s="40"/>
      <c r="M51" s="96" t="s">
        <v>931</v>
      </c>
      <c r="N51" s="40"/>
      <c r="O51" s="48"/>
      <c r="P51" s="40"/>
      <c r="Q51" s="22"/>
      <c r="R51" s="40"/>
      <c r="S51" s="40"/>
      <c r="T51" s="40"/>
      <c r="U51" s="40"/>
      <c r="V51" s="48"/>
      <c r="W51" s="40"/>
      <c r="X51" s="171" t="s">
        <v>1585</v>
      </c>
      <c r="Z51" s="40"/>
      <c r="AA51" s="40"/>
      <c r="AB51" s="40"/>
      <c r="AC51" s="48"/>
      <c r="AD51" s="40"/>
      <c r="AE51" s="40"/>
      <c r="AF51" s="40"/>
      <c r="AI51" s="40"/>
      <c r="AJ51" s="231">
        <f>+SUM(B61:AL61)</f>
        <v>34866</v>
      </c>
      <c r="AK51" s="232"/>
      <c r="AL51" s="23" t="s">
        <v>1</v>
      </c>
    </row>
    <row r="52" spans="1:38" s="11" customFormat="1" ht="16.5" customHeight="1">
      <c r="A52" s="230"/>
      <c r="B52" s="91"/>
      <c r="C52" s="22"/>
      <c r="D52" s="40"/>
      <c r="E52" s="21"/>
      <c r="F52" s="40"/>
      <c r="G52" s="40"/>
      <c r="H52" s="48"/>
      <c r="I52" s="40"/>
      <c r="J52" s="40"/>
      <c r="K52" s="53"/>
      <c r="L52" s="40"/>
      <c r="M52" s="96" t="s">
        <v>932</v>
      </c>
      <c r="N52" s="40"/>
      <c r="O52" s="48"/>
      <c r="P52" s="40"/>
      <c r="Q52" s="22"/>
      <c r="R52" s="40"/>
      <c r="S52" s="40"/>
      <c r="T52" s="40"/>
      <c r="U52" s="40"/>
      <c r="V52" s="48"/>
      <c r="W52" s="40"/>
      <c r="X52" s="171" t="s">
        <v>1586</v>
      </c>
      <c r="Z52" s="40"/>
      <c r="AA52" s="40"/>
      <c r="AB52" s="40"/>
      <c r="AC52" s="48"/>
      <c r="AD52" s="40"/>
      <c r="AE52" s="40"/>
      <c r="AF52" s="40"/>
      <c r="AG52" s="22" t="s">
        <v>173</v>
      </c>
      <c r="AH52" s="40"/>
      <c r="AI52" s="21"/>
      <c r="AJ52" s="48"/>
      <c r="AK52" s="156"/>
      <c r="AL52" s="61"/>
    </row>
    <row r="53" spans="1:38" s="11" customFormat="1" ht="16.5" customHeight="1">
      <c r="A53" s="230"/>
      <c r="B53" s="91"/>
      <c r="C53" s="22"/>
      <c r="D53" s="40"/>
      <c r="E53" s="21"/>
      <c r="F53" s="40"/>
      <c r="G53" s="40"/>
      <c r="H53" s="48"/>
      <c r="I53" s="40"/>
      <c r="J53" s="40"/>
      <c r="K53" s="22"/>
      <c r="L53" s="40"/>
      <c r="M53" s="22" t="s">
        <v>941</v>
      </c>
      <c r="N53" s="40"/>
      <c r="O53" s="48"/>
      <c r="P53" s="40"/>
      <c r="Q53" s="22"/>
      <c r="R53" s="40"/>
      <c r="S53" s="40"/>
      <c r="T53" s="40"/>
      <c r="U53" s="40"/>
      <c r="V53" s="48"/>
      <c r="W53" s="40"/>
      <c r="X53" s="171" t="s">
        <v>1587</v>
      </c>
      <c r="Y53" s="40"/>
      <c r="Z53" s="40"/>
      <c r="AA53" s="40"/>
      <c r="AB53" s="40"/>
      <c r="AC53" s="48"/>
      <c r="AD53" s="40"/>
      <c r="AE53" s="42"/>
      <c r="AF53" s="40"/>
      <c r="AG53" s="40"/>
      <c r="AH53" s="40"/>
      <c r="AI53" s="40"/>
      <c r="AJ53" s="48"/>
      <c r="AK53" s="156"/>
      <c r="AL53" s="61"/>
    </row>
    <row r="54" spans="1:38" s="11" customFormat="1" ht="16.5" customHeight="1">
      <c r="A54" s="230"/>
      <c r="B54" s="91"/>
      <c r="C54" s="22"/>
      <c r="D54" s="40"/>
      <c r="E54" s="21"/>
      <c r="F54" s="21"/>
      <c r="G54" s="21"/>
      <c r="H54" s="48"/>
      <c r="I54" s="40"/>
      <c r="J54" s="40"/>
      <c r="K54" s="22"/>
      <c r="L54" s="40"/>
      <c r="M54" s="22" t="s">
        <v>942</v>
      </c>
      <c r="N54" s="40"/>
      <c r="O54" s="48"/>
      <c r="P54" s="40"/>
      <c r="Q54" s="22"/>
      <c r="R54" s="40"/>
      <c r="S54" s="40"/>
      <c r="T54" s="40"/>
      <c r="U54" s="40"/>
      <c r="V54" s="48"/>
      <c r="W54" s="40"/>
      <c r="X54" s="171" t="s">
        <v>1588</v>
      </c>
      <c r="Y54" s="40"/>
      <c r="Z54" s="42"/>
      <c r="AA54" s="40"/>
      <c r="AB54" s="40"/>
      <c r="AC54" s="48"/>
      <c r="AD54" s="40"/>
      <c r="AE54" s="40"/>
      <c r="AF54" s="40"/>
      <c r="AG54" s="40"/>
      <c r="AH54" s="40"/>
      <c r="AI54" s="40"/>
      <c r="AJ54" s="48"/>
      <c r="AK54" s="156"/>
      <c r="AL54" s="61"/>
    </row>
    <row r="55" spans="1:38" s="11" customFormat="1" ht="17.5">
      <c r="A55" s="230"/>
      <c r="B55" s="91"/>
      <c r="C55" s="22"/>
      <c r="D55" s="40"/>
      <c r="E55" s="21"/>
      <c r="F55" s="21"/>
      <c r="G55" s="21"/>
      <c r="H55" s="48"/>
      <c r="I55" s="40"/>
      <c r="J55" s="40"/>
      <c r="K55" s="22"/>
      <c r="L55" s="40"/>
      <c r="M55" s="96" t="s">
        <v>936</v>
      </c>
      <c r="N55" s="40"/>
      <c r="O55" s="48"/>
      <c r="P55" s="40"/>
      <c r="Q55" s="22"/>
      <c r="R55" s="40"/>
      <c r="S55" s="40"/>
      <c r="T55" s="40"/>
      <c r="U55" s="40"/>
      <c r="V55" s="48"/>
      <c r="W55" s="40"/>
      <c r="X55" s="171" t="s">
        <v>1589</v>
      </c>
      <c r="Y55" s="40"/>
      <c r="Z55" s="54"/>
      <c r="AA55" s="54"/>
      <c r="AB55" s="40"/>
      <c r="AC55" s="48"/>
      <c r="AD55" s="40"/>
      <c r="AE55" s="40"/>
      <c r="AF55" s="40"/>
      <c r="AG55" s="40"/>
      <c r="AH55" s="40"/>
      <c r="AI55" s="40"/>
      <c r="AJ55" s="48"/>
      <c r="AK55" s="156"/>
      <c r="AL55" s="61"/>
    </row>
    <row r="56" spans="1:38" s="11" customFormat="1" ht="17.5">
      <c r="A56" s="230"/>
      <c r="B56" s="91"/>
      <c r="C56" s="22"/>
      <c r="D56" s="40"/>
      <c r="E56" s="21"/>
      <c r="F56" s="21"/>
      <c r="G56" s="21"/>
      <c r="H56" s="48"/>
      <c r="I56" s="40"/>
      <c r="J56" s="40"/>
      <c r="K56" s="22"/>
      <c r="L56" s="40"/>
      <c r="M56" s="96" t="s">
        <v>937</v>
      </c>
      <c r="N56" s="40"/>
      <c r="O56" s="48"/>
      <c r="P56" s="40"/>
      <c r="Q56" s="22"/>
      <c r="R56" s="40"/>
      <c r="S56" s="40"/>
      <c r="T56" s="40"/>
      <c r="U56" s="40"/>
      <c r="V56" s="48"/>
      <c r="W56" s="40"/>
      <c r="X56" s="171" t="s">
        <v>1590</v>
      </c>
      <c r="Y56" s="40"/>
      <c r="Z56" s="40"/>
      <c r="AA56" s="40"/>
      <c r="AB56" s="40"/>
      <c r="AC56" s="48"/>
      <c r="AD56" s="40"/>
      <c r="AE56" s="40"/>
      <c r="AF56" s="40"/>
      <c r="AG56" s="40"/>
      <c r="AH56" s="91"/>
      <c r="AI56" s="40"/>
      <c r="AJ56" s="48"/>
      <c r="AK56" s="156"/>
      <c r="AL56" s="61"/>
    </row>
    <row r="57" spans="1:38" s="11" customFormat="1" ht="17.5">
      <c r="A57" s="230"/>
      <c r="B57" s="91"/>
      <c r="C57" s="22"/>
      <c r="D57" s="40"/>
      <c r="E57" s="21"/>
      <c r="F57" s="21"/>
      <c r="G57" s="21"/>
      <c r="H57" s="48"/>
      <c r="I57" s="40"/>
      <c r="J57" s="40"/>
      <c r="K57" s="22"/>
      <c r="L57" s="40"/>
      <c r="M57" s="96" t="s">
        <v>934</v>
      </c>
      <c r="N57" s="40"/>
      <c r="O57" s="48"/>
      <c r="P57" s="40"/>
      <c r="Q57" s="22"/>
      <c r="R57" s="40"/>
      <c r="S57" s="40"/>
      <c r="T57" s="40"/>
      <c r="U57" s="40"/>
      <c r="V57" s="48"/>
      <c r="W57" s="40"/>
      <c r="X57" s="42" t="s">
        <v>788</v>
      </c>
      <c r="Y57" s="40"/>
      <c r="Z57" s="54"/>
      <c r="AA57" s="40"/>
      <c r="AB57" s="40"/>
      <c r="AC57" s="48"/>
      <c r="AD57" s="40"/>
      <c r="AE57" s="40"/>
      <c r="AF57" s="40"/>
      <c r="AH57" s="91"/>
      <c r="AI57" s="40"/>
      <c r="AJ57" s="48"/>
      <c r="AK57" s="156"/>
      <c r="AL57" s="61"/>
    </row>
    <row r="58" spans="1:38" s="11" customFormat="1" ht="17.5">
      <c r="A58" s="230"/>
      <c r="B58" s="91"/>
      <c r="C58" s="22"/>
      <c r="D58" s="40"/>
      <c r="E58" s="21"/>
      <c r="F58" s="21"/>
      <c r="G58" s="21"/>
      <c r="H58" s="48"/>
      <c r="I58" s="40"/>
      <c r="J58" s="40"/>
      <c r="K58" s="22"/>
      <c r="L58" s="40"/>
      <c r="M58" s="96" t="s">
        <v>935</v>
      </c>
      <c r="N58" s="40"/>
      <c r="O58" s="48"/>
      <c r="P58" s="40"/>
      <c r="Q58" s="40"/>
      <c r="R58" s="40"/>
      <c r="S58" s="40"/>
      <c r="T58" s="40"/>
      <c r="U58" s="40"/>
      <c r="V58" s="48"/>
      <c r="W58" s="40"/>
      <c r="X58" s="22" t="s">
        <v>1608</v>
      </c>
      <c r="Y58" s="40"/>
      <c r="Z58" s="40"/>
      <c r="AA58" s="40"/>
      <c r="AB58" s="40"/>
      <c r="AC58" s="48"/>
      <c r="AD58" s="40"/>
      <c r="AE58" s="40"/>
      <c r="AG58" s="40"/>
      <c r="AH58" s="97"/>
      <c r="AI58" s="97"/>
      <c r="AJ58" s="48"/>
      <c r="AK58" s="156"/>
      <c r="AL58" s="61"/>
    </row>
    <row r="59" spans="1:38" s="11" customFormat="1" ht="17.5">
      <c r="A59" s="230"/>
      <c r="B59" s="91"/>
      <c r="C59" s="22"/>
      <c r="D59" s="40"/>
      <c r="E59" s="21"/>
      <c r="F59" s="21"/>
      <c r="G59" s="21"/>
      <c r="H59" s="48"/>
      <c r="I59" s="40"/>
      <c r="J59" s="40"/>
      <c r="K59" s="22"/>
      <c r="L59" s="40"/>
      <c r="M59" s="163" t="s">
        <v>939</v>
      </c>
      <c r="N59" s="40"/>
      <c r="O59" s="48"/>
      <c r="P59" s="40"/>
      <c r="Q59" s="40"/>
      <c r="R59" s="40"/>
      <c r="S59" s="40"/>
      <c r="T59" s="40"/>
      <c r="U59" s="40"/>
      <c r="V59" s="48"/>
      <c r="W59" s="40"/>
      <c r="X59" s="22" t="s">
        <v>1609</v>
      </c>
      <c r="Y59" s="40"/>
      <c r="Z59" s="40"/>
      <c r="AA59" s="40"/>
      <c r="AB59" s="40"/>
      <c r="AC59" s="98"/>
      <c r="AD59" s="40"/>
      <c r="AE59" s="40"/>
      <c r="AF59" s="40"/>
      <c r="AG59" s="40"/>
      <c r="AH59" s="97"/>
      <c r="AI59" s="97"/>
      <c r="AJ59" s="48"/>
      <c r="AK59" s="156"/>
      <c r="AL59" s="61"/>
    </row>
    <row r="60" spans="1:38" s="11" customFormat="1" ht="17.5">
      <c r="A60" s="230"/>
      <c r="B60" s="91"/>
      <c r="C60" s="22"/>
      <c r="D60" s="40"/>
      <c r="E60" s="21"/>
      <c r="F60" s="21"/>
      <c r="G60" s="21"/>
      <c r="H60" s="48"/>
      <c r="I60" s="40"/>
      <c r="J60" s="40"/>
      <c r="K60" s="22"/>
      <c r="L60" s="40"/>
      <c r="M60" s="166" t="s">
        <v>1571</v>
      </c>
      <c r="N60" s="40"/>
      <c r="O60" s="48"/>
      <c r="P60" s="40"/>
      <c r="Q60" s="40"/>
      <c r="R60" s="40"/>
      <c r="S60" s="40"/>
      <c r="T60" s="40"/>
      <c r="U60" s="40"/>
      <c r="V60" s="48"/>
      <c r="W60" s="40"/>
      <c r="X60" s="40"/>
      <c r="Y60" s="40"/>
      <c r="Z60" s="40"/>
      <c r="AA60" s="40"/>
      <c r="AB60" s="40"/>
      <c r="AC60" s="98"/>
      <c r="AD60" s="40"/>
      <c r="AE60" s="40"/>
      <c r="AF60" s="40"/>
      <c r="AG60" s="40"/>
      <c r="AH60" s="97"/>
      <c r="AI60" s="97"/>
      <c r="AJ60" s="48"/>
      <c r="AK60" s="156"/>
      <c r="AL60" s="61"/>
    </row>
    <row r="61" spans="1:38" s="11" customFormat="1" ht="16.5" customHeight="1">
      <c r="A61" s="230"/>
      <c r="B61" s="24"/>
      <c r="C61" s="56"/>
      <c r="D61" s="24"/>
      <c r="E61" s="56"/>
      <c r="F61" s="24"/>
      <c r="G61" s="233">
        <f>264+463+198+1602+1800+4151</f>
        <v>8478</v>
      </c>
      <c r="H61" s="234"/>
      <c r="I61" s="24"/>
      <c r="J61" s="56"/>
      <c r="K61" s="24"/>
      <c r="L61" s="24"/>
      <c r="M61" s="233">
        <f>280+2089+542+17+1063+655+911+338+316+453+977+337+30+156+2500</f>
        <v>10664</v>
      </c>
      <c r="N61" s="234"/>
      <c r="O61" s="25"/>
      <c r="P61" s="56"/>
      <c r="Q61" s="24"/>
      <c r="R61" s="56"/>
      <c r="S61" s="24"/>
      <c r="T61" s="56"/>
      <c r="U61" s="24"/>
      <c r="V61" s="24"/>
      <c r="W61" s="24"/>
      <c r="X61" s="233">
        <f>1711+1717+458+1+651+608+870+839+177+355+320+319+100+2045+700+173</f>
        <v>11044</v>
      </c>
      <c r="Y61" s="234"/>
      <c r="Z61" s="24"/>
      <c r="AA61" s="24"/>
      <c r="AB61" s="24"/>
      <c r="AC61" s="56"/>
      <c r="AD61" s="24"/>
      <c r="AE61" s="24"/>
      <c r="AF61" s="24"/>
      <c r="AG61" s="24">
        <f>3975+705</f>
        <v>4680</v>
      </c>
      <c r="AH61" s="223"/>
      <c r="AI61" s="223"/>
      <c r="AJ61" s="24"/>
      <c r="AK61" s="24"/>
      <c r="AL61" s="106"/>
    </row>
    <row r="62" spans="1:38" s="11" customFormat="1" ht="2.25" customHeight="1">
      <c r="A62" s="26"/>
      <c r="B62" s="27"/>
      <c r="C62" s="27"/>
      <c r="D62" s="27"/>
      <c r="E62" s="28"/>
      <c r="F62" s="27"/>
      <c r="G62" s="27"/>
      <c r="H62" s="27"/>
      <c r="I62" s="27"/>
      <c r="J62" s="44"/>
      <c r="K62" s="44"/>
      <c r="L62" s="44"/>
      <c r="M62" s="44"/>
      <c r="N62" s="44"/>
      <c r="O62" s="27"/>
      <c r="P62" s="27"/>
      <c r="Q62" s="44"/>
      <c r="R62" s="44"/>
      <c r="S62" s="44"/>
      <c r="T62" s="44"/>
      <c r="U62" s="44"/>
      <c r="V62" s="27"/>
      <c r="W62" s="27"/>
      <c r="X62" s="44"/>
      <c r="Y62" s="44"/>
      <c r="Z62" s="44"/>
      <c r="AA62" s="44"/>
      <c r="AB62" s="44"/>
      <c r="AC62" s="27"/>
      <c r="AD62" s="27"/>
      <c r="AE62" s="44"/>
      <c r="AF62" s="44"/>
      <c r="AG62" s="44"/>
      <c r="AH62" s="44"/>
      <c r="AI62" s="44"/>
      <c r="AJ62" s="30"/>
      <c r="AK62" s="44"/>
      <c r="AL62" s="30"/>
    </row>
    <row r="63" spans="1:38" s="57" customFormat="1" ht="32.25" customHeight="1">
      <c r="A63" s="236" t="s">
        <v>2</v>
      </c>
      <c r="B63" s="38" t="s">
        <v>3</v>
      </c>
      <c r="C63" s="32"/>
      <c r="D63" s="31"/>
      <c r="E63" s="31"/>
      <c r="F63" s="32"/>
      <c r="G63" s="32"/>
      <c r="H63" s="32"/>
      <c r="I63" s="238" t="s">
        <v>4</v>
      </c>
      <c r="J63" s="32"/>
      <c r="K63" s="32"/>
      <c r="L63" s="32"/>
      <c r="M63" s="32"/>
      <c r="N63" s="32"/>
      <c r="O63" s="32"/>
      <c r="P63" s="238" t="s">
        <v>5</v>
      </c>
      <c r="Q63" s="32"/>
      <c r="R63" s="32"/>
      <c r="S63" s="32"/>
      <c r="T63" s="32"/>
      <c r="U63" s="32"/>
      <c r="V63" s="32"/>
      <c r="W63" s="238" t="s">
        <v>6</v>
      </c>
      <c r="X63" s="32"/>
      <c r="Y63" s="32"/>
      <c r="Z63" s="32"/>
      <c r="AA63" s="32"/>
      <c r="AB63" s="32"/>
      <c r="AC63" s="32"/>
      <c r="AD63" s="238" t="s">
        <v>46</v>
      </c>
      <c r="AE63" s="32"/>
      <c r="AF63" s="32"/>
      <c r="AG63" s="32"/>
      <c r="AH63" s="32"/>
      <c r="AI63" s="32"/>
      <c r="AJ63" s="32"/>
      <c r="AK63" s="32"/>
      <c r="AL63" s="33"/>
    </row>
    <row r="64" spans="1:38" s="57" customFormat="1" ht="32.25" customHeight="1" thickBot="1">
      <c r="A64" s="237"/>
      <c r="B64" s="39" t="s">
        <v>7</v>
      </c>
      <c r="C64" s="35"/>
      <c r="D64" s="34"/>
      <c r="E64" s="34"/>
      <c r="F64" s="35"/>
      <c r="G64" s="35"/>
      <c r="H64" s="35"/>
      <c r="I64" s="239"/>
      <c r="J64" s="35"/>
      <c r="K64" s="35"/>
      <c r="L64" s="35"/>
      <c r="M64" s="35"/>
      <c r="N64" s="35"/>
      <c r="O64" s="35"/>
      <c r="P64" s="239"/>
      <c r="Q64" s="35"/>
      <c r="R64" s="35"/>
      <c r="S64" s="35"/>
      <c r="T64" s="35"/>
      <c r="U64" s="35"/>
      <c r="V64" s="35"/>
      <c r="W64" s="239"/>
      <c r="X64" s="35"/>
      <c r="Y64" s="35"/>
      <c r="Z64" s="35"/>
      <c r="AA64" s="35"/>
      <c r="AB64" s="35"/>
      <c r="AC64" s="35"/>
      <c r="AD64" s="239"/>
      <c r="AE64" s="35"/>
      <c r="AF64" s="35"/>
      <c r="AG64" s="35"/>
      <c r="AH64" s="35"/>
      <c r="AI64" s="35"/>
      <c r="AJ64" s="35"/>
      <c r="AK64" s="35"/>
      <c r="AL64" s="36"/>
    </row>
  </sheetData>
  <mergeCells count="17">
    <mergeCell ref="A42:A61"/>
    <mergeCell ref="AJ51:AK51"/>
    <mergeCell ref="M61:N61"/>
    <mergeCell ref="A9:A36"/>
    <mergeCell ref="AJ17:AK17"/>
    <mergeCell ref="T36:U36"/>
    <mergeCell ref="AD36:AE36"/>
    <mergeCell ref="I36:J36"/>
    <mergeCell ref="G61:H61"/>
    <mergeCell ref="X61:Y61"/>
    <mergeCell ref="G36:H36"/>
    <mergeCell ref="L36:M36"/>
    <mergeCell ref="A63:A64"/>
    <mergeCell ref="I63:I64"/>
    <mergeCell ref="P63:P64"/>
    <mergeCell ref="W63:W64"/>
    <mergeCell ref="AD63:AD64"/>
  </mergeCells>
  <phoneticPr fontId="48" type="noConversion"/>
  <printOptions horizontalCentered="1"/>
  <pageMargins left="0" right="0" top="0" bottom="0" header="0" footer="0"/>
  <pageSetup paperSize="9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82"/>
  <sheetViews>
    <sheetView zoomScale="75" zoomScaleNormal="75" workbookViewId="0">
      <pane ySplit="4" topLeftCell="A5" activePane="bottomLeft" state="frozen"/>
      <selection activeCell="X50" sqref="X50"/>
      <selection pane="bottomLeft" activeCell="G6" sqref="G6:AK6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39" s="4" customFormat="1" ht="22">
      <c r="A1" s="3"/>
      <c r="B1" s="7"/>
      <c r="D1" s="7"/>
      <c r="Q1" s="1" t="s">
        <v>1223</v>
      </c>
      <c r="AJ1" s="5" t="s">
        <v>1645</v>
      </c>
    </row>
    <row r="2" spans="1:39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39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39" s="11" customFormat="1" ht="17.25" customHeight="1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39" s="11" customFormat="1" ht="16.5" customHeight="1">
      <c r="A5" s="12" t="s">
        <v>0</v>
      </c>
      <c r="B5" s="16"/>
      <c r="C5" s="16"/>
      <c r="D5" s="16"/>
      <c r="E5" s="16"/>
      <c r="F5" s="16"/>
      <c r="G5" s="16">
        <v>1080</v>
      </c>
      <c r="H5" s="25"/>
      <c r="I5" s="68">
        <v>970</v>
      </c>
      <c r="J5" s="16">
        <v>1490</v>
      </c>
      <c r="K5" s="16">
        <v>1490</v>
      </c>
      <c r="L5" s="16">
        <v>1490</v>
      </c>
      <c r="M5" s="68">
        <v>1340</v>
      </c>
      <c r="N5" s="16">
        <v>1080</v>
      </c>
      <c r="O5" s="25"/>
      <c r="P5" s="16">
        <v>1080</v>
      </c>
      <c r="Q5" s="16">
        <v>1280</v>
      </c>
      <c r="R5" s="51">
        <v>1490</v>
      </c>
      <c r="S5" s="16">
        <v>1280</v>
      </c>
      <c r="T5" s="16">
        <v>1490</v>
      </c>
      <c r="U5" s="16">
        <v>1280</v>
      </c>
      <c r="V5" s="25"/>
      <c r="W5" s="16">
        <v>1280</v>
      </c>
      <c r="X5" s="16">
        <v>1080</v>
      </c>
      <c r="Y5" s="16">
        <v>1080</v>
      </c>
      <c r="Z5" s="16">
        <v>1080</v>
      </c>
      <c r="AA5" s="16">
        <v>1080</v>
      </c>
      <c r="AB5" s="16">
        <v>1080</v>
      </c>
      <c r="AC5" s="25"/>
      <c r="AD5" s="68">
        <v>760</v>
      </c>
      <c r="AE5" s="16">
        <v>1080</v>
      </c>
      <c r="AF5" s="16">
        <v>1080</v>
      </c>
      <c r="AG5" s="68">
        <v>970</v>
      </c>
      <c r="AH5" s="16">
        <v>1080</v>
      </c>
      <c r="AI5" s="16">
        <v>1080</v>
      </c>
      <c r="AJ5" s="25"/>
      <c r="AK5" s="16"/>
      <c r="AL5" s="16"/>
      <c r="AM5" s="17">
        <f>+SUM(B5:AL5)</f>
        <v>29570</v>
      </c>
    </row>
    <row r="6" spans="1:39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92">
        <v>11</v>
      </c>
      <c r="J6" s="192">
        <v>11</v>
      </c>
      <c r="K6" s="192">
        <v>11</v>
      </c>
      <c r="L6" s="192">
        <v>11</v>
      </c>
      <c r="M6" s="192">
        <v>8</v>
      </c>
      <c r="N6" s="192">
        <v>8</v>
      </c>
      <c r="O6" s="25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8">
        <v>8</v>
      </c>
      <c r="X6" s="18">
        <v>8</v>
      </c>
      <c r="Y6" s="18">
        <v>8</v>
      </c>
      <c r="Z6" s="18">
        <v>8</v>
      </c>
      <c r="AA6" s="18">
        <v>8</v>
      </c>
      <c r="AB6" s="18">
        <v>8</v>
      </c>
      <c r="AC6" s="25"/>
      <c r="AD6" s="18">
        <v>8</v>
      </c>
      <c r="AE6" s="18">
        <v>8</v>
      </c>
      <c r="AF6" s="18">
        <v>8</v>
      </c>
      <c r="AG6" s="18">
        <v>8</v>
      </c>
      <c r="AH6" s="18">
        <v>8</v>
      </c>
      <c r="AI6" s="18">
        <v>8</v>
      </c>
      <c r="AJ6" s="25"/>
      <c r="AK6" s="18">
        <v>8</v>
      </c>
      <c r="AL6" s="130"/>
    </row>
    <row r="7" spans="1:39" s="17" customFormat="1" ht="16.5" customHeight="1">
      <c r="A7" s="2" t="s">
        <v>19</v>
      </c>
      <c r="B7" s="41"/>
      <c r="C7" s="41"/>
      <c r="D7" s="41"/>
      <c r="E7" s="41"/>
      <c r="F7" s="41"/>
      <c r="G7" s="71" t="s">
        <v>317</v>
      </c>
      <c r="H7" s="25"/>
      <c r="I7" s="71" t="s">
        <v>317</v>
      </c>
      <c r="J7" s="41"/>
      <c r="K7" s="41"/>
      <c r="L7" s="41"/>
      <c r="M7" s="71" t="s">
        <v>317</v>
      </c>
      <c r="N7" s="41"/>
      <c r="O7" s="25"/>
      <c r="P7" s="41"/>
      <c r="Q7" s="41"/>
      <c r="R7" s="41"/>
      <c r="S7" s="41"/>
      <c r="T7" s="41"/>
      <c r="U7" s="41"/>
      <c r="V7" s="25"/>
      <c r="W7" s="41"/>
      <c r="X7" s="41"/>
      <c r="Y7" s="41"/>
      <c r="Z7" s="41"/>
      <c r="AA7" s="41"/>
      <c r="AB7" s="41"/>
      <c r="AC7" s="25"/>
      <c r="AD7" s="71" t="s">
        <v>317</v>
      </c>
      <c r="AE7" s="41"/>
      <c r="AF7" s="41"/>
      <c r="AG7" s="71" t="s">
        <v>317</v>
      </c>
      <c r="AH7" s="41"/>
      <c r="AI7" s="41"/>
      <c r="AJ7" s="25"/>
      <c r="AK7" s="41"/>
      <c r="AL7" s="60"/>
    </row>
    <row r="8" spans="1:39" s="17" customFormat="1" ht="16.5" customHeight="1">
      <c r="A8" s="2" t="s">
        <v>20</v>
      </c>
      <c r="B8" s="20"/>
      <c r="C8" s="20"/>
      <c r="D8" s="20"/>
      <c r="E8" s="20"/>
      <c r="F8" s="20"/>
      <c r="G8" s="20"/>
      <c r="H8" s="25"/>
      <c r="I8" s="20">
        <v>0.9</v>
      </c>
      <c r="J8" s="20"/>
      <c r="K8" s="20"/>
      <c r="L8" s="20"/>
      <c r="M8" s="20">
        <v>0.9</v>
      </c>
      <c r="N8" s="20"/>
      <c r="O8" s="25"/>
      <c r="P8" s="20"/>
      <c r="Q8" s="20"/>
      <c r="R8" s="20"/>
      <c r="S8" s="20"/>
      <c r="T8" s="20"/>
      <c r="U8" s="20"/>
      <c r="V8" s="25"/>
      <c r="W8" s="20"/>
      <c r="X8" s="20"/>
      <c r="Y8" s="20"/>
      <c r="Z8" s="20"/>
      <c r="AA8" s="20"/>
      <c r="AB8" s="20"/>
      <c r="AC8" s="25"/>
      <c r="AD8" s="20">
        <v>0.7</v>
      </c>
      <c r="AE8" s="20"/>
      <c r="AF8" s="20"/>
      <c r="AG8" s="20">
        <v>0.9</v>
      </c>
      <c r="AH8" s="20"/>
      <c r="AI8" s="20"/>
      <c r="AJ8" s="25"/>
      <c r="AK8" s="20"/>
      <c r="AL8" s="60"/>
    </row>
    <row r="9" spans="1:39" s="11" customFormat="1" ht="15.75" customHeight="1">
      <c r="A9" s="229" t="s">
        <v>23</v>
      </c>
      <c r="B9" s="46"/>
      <c r="C9" s="49"/>
      <c r="D9" s="40"/>
      <c r="E9" s="47"/>
      <c r="F9" s="47"/>
      <c r="G9" s="52" t="s">
        <v>190</v>
      </c>
      <c r="H9" s="48"/>
      <c r="K9" s="40"/>
      <c r="L9" s="40"/>
      <c r="M9" s="52" t="s">
        <v>190</v>
      </c>
      <c r="O9" s="48"/>
      <c r="Q9" s="50"/>
      <c r="T9" s="50"/>
      <c r="V9" s="48"/>
      <c r="W9" s="40"/>
      <c r="X9" s="50"/>
      <c r="Y9" s="47"/>
      <c r="Z9" s="40"/>
      <c r="AB9" s="47"/>
      <c r="AC9" s="48"/>
      <c r="AD9" s="40"/>
      <c r="AE9" s="40"/>
      <c r="AF9" s="40"/>
      <c r="AG9" s="50" t="s">
        <v>79</v>
      </c>
      <c r="AH9" s="40"/>
      <c r="AI9" s="47"/>
      <c r="AJ9" s="48"/>
      <c r="AK9" s="62"/>
      <c r="AL9" s="61"/>
    </row>
    <row r="10" spans="1:39" s="11" customFormat="1" ht="15.75" customHeight="1">
      <c r="A10" s="230"/>
      <c r="B10" s="22"/>
      <c r="C10" s="22"/>
      <c r="D10" s="40"/>
      <c r="E10" s="21"/>
      <c r="F10" s="21"/>
      <c r="G10" s="171" t="s">
        <v>1420</v>
      </c>
      <c r="H10" s="48"/>
      <c r="I10" s="40"/>
      <c r="J10" s="40"/>
      <c r="K10" s="40"/>
      <c r="L10" s="40"/>
      <c r="M10" s="96" t="s">
        <v>919</v>
      </c>
      <c r="N10" s="40"/>
      <c r="O10" s="48"/>
      <c r="P10" s="40"/>
      <c r="Q10" s="22"/>
      <c r="R10" s="40"/>
      <c r="S10" s="40"/>
      <c r="T10" s="40"/>
      <c r="U10" s="40"/>
      <c r="V10" s="48"/>
      <c r="W10" s="40"/>
      <c r="X10" s="40"/>
      <c r="Y10" s="40"/>
      <c r="Z10" s="40"/>
      <c r="AA10" s="40"/>
      <c r="AB10" s="21"/>
      <c r="AC10" s="48"/>
      <c r="AD10" s="40"/>
      <c r="AE10" s="40"/>
      <c r="AF10" s="40"/>
      <c r="AG10" s="22" t="s">
        <v>80</v>
      </c>
      <c r="AH10" s="40"/>
      <c r="AI10" s="21"/>
      <c r="AJ10" s="48"/>
      <c r="AK10" s="58"/>
      <c r="AL10" s="61"/>
    </row>
    <row r="11" spans="1:39" s="11" customFormat="1" ht="15.75" customHeight="1">
      <c r="A11" s="230"/>
      <c r="B11" s="22"/>
      <c r="C11" s="22"/>
      <c r="D11" s="40"/>
      <c r="E11" s="21"/>
      <c r="F11" s="21"/>
      <c r="G11" s="171" t="s">
        <v>1419</v>
      </c>
      <c r="H11" s="48"/>
      <c r="I11" s="40"/>
      <c r="J11" s="40"/>
      <c r="K11" s="40"/>
      <c r="L11" s="40"/>
      <c r="M11" s="96" t="s">
        <v>920</v>
      </c>
      <c r="N11" s="40"/>
      <c r="O11" s="48"/>
      <c r="P11" s="40"/>
      <c r="Q11" s="22"/>
      <c r="R11" s="40"/>
      <c r="S11" s="40"/>
      <c r="T11" s="40"/>
      <c r="U11" s="40"/>
      <c r="V11" s="48"/>
      <c r="W11" s="40"/>
      <c r="X11" s="40"/>
      <c r="Y11" s="40"/>
      <c r="Z11" s="40"/>
      <c r="AA11" s="40"/>
      <c r="AB11" s="21"/>
      <c r="AC11" s="48"/>
      <c r="AD11" s="40"/>
      <c r="AE11" s="40"/>
      <c r="AF11" s="40"/>
      <c r="AG11" s="52" t="s">
        <v>190</v>
      </c>
      <c r="AH11" s="40"/>
      <c r="AI11" s="21"/>
      <c r="AJ11" s="48"/>
      <c r="AK11" s="58"/>
      <c r="AL11" s="61"/>
    </row>
    <row r="12" spans="1:39" s="11" customFormat="1" ht="15.75" customHeight="1">
      <c r="A12" s="230"/>
      <c r="B12" s="22"/>
      <c r="C12" s="55"/>
      <c r="D12" s="40"/>
      <c r="E12" s="21"/>
      <c r="F12" s="21"/>
      <c r="G12" s="213" t="s">
        <v>1384</v>
      </c>
      <c r="H12" s="48"/>
      <c r="I12" s="40"/>
      <c r="J12" s="40"/>
      <c r="K12" s="40"/>
      <c r="L12" s="40"/>
      <c r="M12" s="22" t="s">
        <v>319</v>
      </c>
      <c r="N12" s="40"/>
      <c r="O12" s="48"/>
      <c r="P12" s="40"/>
      <c r="Q12" s="40"/>
      <c r="R12" s="40"/>
      <c r="S12" s="40"/>
      <c r="T12" s="40"/>
      <c r="U12" s="40"/>
      <c r="V12" s="48"/>
      <c r="W12" s="40"/>
      <c r="X12" s="40"/>
      <c r="Y12" s="40"/>
      <c r="Z12" s="40"/>
      <c r="AA12" s="40"/>
      <c r="AB12" s="40"/>
      <c r="AC12" s="48"/>
      <c r="AD12" s="40"/>
      <c r="AE12" s="40"/>
      <c r="AF12" s="40"/>
      <c r="AG12" s="22" t="s">
        <v>320</v>
      </c>
      <c r="AH12" s="40"/>
      <c r="AI12" s="21"/>
      <c r="AJ12" s="48"/>
      <c r="AK12" s="58"/>
      <c r="AL12" s="61"/>
    </row>
    <row r="13" spans="1:39" s="11" customFormat="1" ht="15.75" customHeight="1">
      <c r="A13" s="230"/>
      <c r="B13" s="22"/>
      <c r="C13" s="22"/>
      <c r="D13" s="40"/>
      <c r="E13" s="21"/>
      <c r="F13" s="21"/>
      <c r="G13" s="70" t="s">
        <v>115</v>
      </c>
      <c r="H13" s="48"/>
      <c r="I13" s="40"/>
      <c r="J13" s="40"/>
      <c r="K13" s="40"/>
      <c r="L13" s="40"/>
      <c r="M13" s="22" t="s">
        <v>318</v>
      </c>
      <c r="N13" s="40"/>
      <c r="O13" s="48"/>
      <c r="P13" s="40"/>
      <c r="Q13" s="40"/>
      <c r="R13" s="40"/>
      <c r="S13" s="40"/>
      <c r="T13" s="40"/>
      <c r="U13" s="40"/>
      <c r="V13" s="48"/>
      <c r="W13" s="40"/>
      <c r="X13" s="40"/>
      <c r="Y13" s="40"/>
      <c r="Z13" s="40"/>
      <c r="AA13" s="40"/>
      <c r="AB13" s="40"/>
      <c r="AC13" s="48"/>
      <c r="AD13" s="40"/>
      <c r="AE13" s="40"/>
      <c r="AF13" s="40"/>
      <c r="AG13" s="22" t="s">
        <v>321</v>
      </c>
      <c r="AH13" s="40"/>
      <c r="AI13" s="21"/>
      <c r="AJ13" s="48"/>
      <c r="AK13" s="58"/>
      <c r="AL13" s="61"/>
    </row>
    <row r="14" spans="1:39" s="11" customFormat="1" ht="15.75" customHeight="1">
      <c r="A14" s="230"/>
      <c r="B14" s="22"/>
      <c r="C14" s="22"/>
      <c r="D14" s="40"/>
      <c r="E14" s="21"/>
      <c r="F14" s="21"/>
      <c r="G14" s="171" t="s">
        <v>1418</v>
      </c>
      <c r="H14" s="48"/>
      <c r="I14" s="40"/>
      <c r="J14" s="40"/>
      <c r="K14" s="40"/>
      <c r="L14" s="40"/>
      <c r="M14" s="22" t="s">
        <v>193</v>
      </c>
      <c r="N14" s="40"/>
      <c r="O14" s="48"/>
      <c r="P14" s="40"/>
      <c r="Q14" s="40"/>
      <c r="R14" s="40"/>
      <c r="S14" s="40"/>
      <c r="T14" s="40"/>
      <c r="U14" s="40"/>
      <c r="V14" s="48"/>
      <c r="W14" s="40"/>
      <c r="X14" s="40"/>
      <c r="Z14" s="40"/>
      <c r="AA14" s="40"/>
      <c r="AB14" s="40"/>
      <c r="AC14" s="48"/>
      <c r="AD14" s="40"/>
      <c r="AE14" s="40"/>
      <c r="AF14" s="40"/>
      <c r="AG14" s="22" t="s">
        <v>322</v>
      </c>
      <c r="AH14" s="40"/>
      <c r="AI14" s="21"/>
      <c r="AJ14" s="48"/>
      <c r="AK14" s="58"/>
      <c r="AL14" s="61"/>
    </row>
    <row r="15" spans="1:39" s="11" customFormat="1" ht="15.75" customHeight="1">
      <c r="A15" s="230"/>
      <c r="B15" s="22"/>
      <c r="C15" s="22"/>
      <c r="D15" s="40"/>
      <c r="E15" s="203"/>
      <c r="F15" s="21"/>
      <c r="G15" s="171" t="s">
        <v>1417</v>
      </c>
      <c r="H15" s="48"/>
      <c r="I15" s="40"/>
      <c r="J15" s="40"/>
      <c r="K15" s="40"/>
      <c r="L15" s="40"/>
      <c r="M15" s="22" t="s">
        <v>194</v>
      </c>
      <c r="N15" s="40"/>
      <c r="O15" s="48"/>
      <c r="P15" s="40"/>
      <c r="Q15" s="40"/>
      <c r="R15" s="40"/>
      <c r="S15" s="40"/>
      <c r="T15" s="40"/>
      <c r="U15" s="40"/>
      <c r="V15" s="48"/>
      <c r="W15" s="40"/>
      <c r="X15" s="40"/>
      <c r="Y15" s="40"/>
      <c r="Z15" s="40"/>
      <c r="AA15" s="40"/>
      <c r="AB15" s="50"/>
      <c r="AC15" s="48"/>
      <c r="AD15" s="40"/>
      <c r="AE15" s="40"/>
      <c r="AF15" s="40"/>
      <c r="AG15" s="40"/>
      <c r="AH15" s="40"/>
      <c r="AI15" s="21"/>
      <c r="AJ15" s="231">
        <f>+SUM(B29:AL29)</f>
        <v>29105</v>
      </c>
      <c r="AK15" s="232"/>
      <c r="AL15" s="23" t="s">
        <v>1</v>
      </c>
    </row>
    <row r="16" spans="1:39" s="11" customFormat="1" ht="15.75" customHeight="1">
      <c r="A16" s="230"/>
      <c r="B16" s="22"/>
      <c r="C16" s="22"/>
      <c r="D16" s="40"/>
      <c r="E16" s="21"/>
      <c r="F16" s="21"/>
      <c r="G16" s="171" t="s">
        <v>1416</v>
      </c>
      <c r="H16" s="48"/>
      <c r="I16" s="40"/>
      <c r="J16" s="40"/>
      <c r="K16" s="40"/>
      <c r="L16" s="40"/>
      <c r="M16" s="22" t="s">
        <v>191</v>
      </c>
      <c r="N16" s="40"/>
      <c r="O16" s="48"/>
      <c r="P16" s="40"/>
      <c r="Q16" s="40"/>
      <c r="S16" s="40"/>
      <c r="T16" s="40"/>
      <c r="U16" s="40"/>
      <c r="V16" s="48"/>
      <c r="W16" s="40"/>
      <c r="X16" s="40"/>
      <c r="Y16" s="40"/>
      <c r="Z16" s="40"/>
      <c r="AA16" s="40"/>
      <c r="AB16" s="40"/>
      <c r="AC16" s="48"/>
      <c r="AD16" s="40"/>
      <c r="AE16" s="40"/>
      <c r="AF16" s="40"/>
      <c r="AG16" s="40"/>
      <c r="AH16" s="40"/>
      <c r="AI16" s="21"/>
      <c r="AJ16" s="48"/>
      <c r="AK16" s="40"/>
      <c r="AL16" s="61"/>
    </row>
    <row r="17" spans="1:39" s="11" customFormat="1" ht="15.75" customHeight="1">
      <c r="A17" s="230"/>
      <c r="B17" s="22"/>
      <c r="C17" s="22"/>
      <c r="D17" s="40"/>
      <c r="E17" s="21"/>
      <c r="F17" s="21"/>
      <c r="G17" s="171" t="s">
        <v>1415</v>
      </c>
      <c r="H17" s="48"/>
      <c r="I17" s="40"/>
      <c r="J17" s="40"/>
      <c r="K17" s="40"/>
      <c r="L17" s="40"/>
      <c r="M17" s="22" t="s">
        <v>192</v>
      </c>
      <c r="N17" s="40"/>
      <c r="O17" s="48"/>
      <c r="P17" s="40"/>
      <c r="Q17" s="40"/>
      <c r="R17" s="40"/>
      <c r="S17" s="40"/>
      <c r="T17" s="40"/>
      <c r="U17" s="40"/>
      <c r="V17" s="48"/>
      <c r="W17" s="21"/>
      <c r="X17" s="40"/>
      <c r="Y17" s="40"/>
      <c r="Z17" s="40"/>
      <c r="AA17" s="40"/>
      <c r="AB17" s="40"/>
      <c r="AC17" s="48"/>
      <c r="AD17" s="40"/>
      <c r="AE17" s="40"/>
      <c r="AF17" s="40"/>
      <c r="AG17" s="40"/>
      <c r="AH17" s="40"/>
      <c r="AI17" s="21"/>
      <c r="AJ17" s="48"/>
      <c r="AK17" s="40"/>
      <c r="AL17" s="61"/>
    </row>
    <row r="18" spans="1:39" s="11" customFormat="1" ht="15.75" customHeight="1">
      <c r="A18" s="230"/>
      <c r="B18" s="22"/>
      <c r="C18" s="22"/>
      <c r="D18" s="40"/>
      <c r="E18" s="21"/>
      <c r="F18" s="21"/>
      <c r="G18" s="171" t="s">
        <v>1414</v>
      </c>
      <c r="H18" s="48"/>
      <c r="I18" s="40"/>
      <c r="J18" s="40"/>
      <c r="K18" s="40"/>
      <c r="L18" s="40"/>
      <c r="M18" s="22"/>
      <c r="N18" s="40"/>
      <c r="O18" s="48"/>
      <c r="P18" s="40"/>
      <c r="Q18" s="40"/>
      <c r="R18" s="40"/>
      <c r="S18" s="40"/>
      <c r="T18" s="40"/>
      <c r="U18" s="40"/>
      <c r="V18" s="48"/>
      <c r="W18" s="21"/>
      <c r="X18" s="40"/>
      <c r="Y18" s="40"/>
      <c r="Z18" s="40"/>
      <c r="AA18" s="40"/>
      <c r="AB18" s="40"/>
      <c r="AC18" s="48"/>
      <c r="AD18" s="40"/>
      <c r="AE18" s="40"/>
      <c r="AF18" s="40"/>
      <c r="AG18" s="40"/>
      <c r="AH18" s="40"/>
      <c r="AI18" s="21"/>
      <c r="AJ18" s="48"/>
      <c r="AK18" s="40"/>
      <c r="AL18" s="61"/>
    </row>
    <row r="19" spans="1:39" s="11" customFormat="1" ht="15.75" customHeight="1">
      <c r="A19" s="230"/>
      <c r="B19" s="22"/>
      <c r="C19" s="22"/>
      <c r="D19" s="40"/>
      <c r="E19" s="21"/>
      <c r="F19" s="21"/>
      <c r="G19" s="171" t="s">
        <v>1413</v>
      </c>
      <c r="H19" s="48"/>
      <c r="I19" s="40"/>
      <c r="J19" s="40"/>
      <c r="K19" s="40"/>
      <c r="L19" s="40"/>
      <c r="M19" s="22"/>
      <c r="N19" s="40"/>
      <c r="O19" s="48"/>
      <c r="P19" s="40"/>
      <c r="Q19" s="40"/>
      <c r="R19" s="40"/>
      <c r="S19" s="40"/>
      <c r="T19" s="40"/>
      <c r="U19" s="40"/>
      <c r="V19" s="48"/>
      <c r="W19" s="21"/>
      <c r="X19" s="40"/>
      <c r="Y19" s="40"/>
      <c r="Z19" s="40"/>
      <c r="AA19" s="40"/>
      <c r="AB19" s="40"/>
      <c r="AC19" s="48"/>
      <c r="AD19" s="40"/>
      <c r="AE19" s="40"/>
      <c r="AF19" s="40"/>
      <c r="AG19" s="40"/>
      <c r="AH19" s="40"/>
      <c r="AI19" s="21"/>
      <c r="AJ19" s="48"/>
      <c r="AK19" s="40"/>
      <c r="AL19" s="61"/>
    </row>
    <row r="20" spans="1:39" s="11" customFormat="1" ht="15.75" customHeight="1">
      <c r="A20" s="230"/>
      <c r="B20" s="22"/>
      <c r="C20" s="22"/>
      <c r="D20" s="40"/>
      <c r="E20" s="21"/>
      <c r="F20" s="21"/>
      <c r="G20" s="171" t="s">
        <v>1412</v>
      </c>
      <c r="H20" s="48"/>
      <c r="I20" s="40"/>
      <c r="J20" s="40"/>
      <c r="K20" s="40"/>
      <c r="L20" s="40"/>
      <c r="M20" s="22"/>
      <c r="N20" s="40"/>
      <c r="O20" s="48"/>
      <c r="P20" s="40"/>
      <c r="Q20" s="40"/>
      <c r="R20" s="40"/>
      <c r="S20" s="40"/>
      <c r="T20" s="40"/>
      <c r="U20" s="40"/>
      <c r="V20" s="48"/>
      <c r="W20" s="21"/>
      <c r="X20" s="40"/>
      <c r="Y20" s="40"/>
      <c r="Z20" s="40"/>
      <c r="AA20" s="40"/>
      <c r="AB20" s="40"/>
      <c r="AC20" s="48"/>
      <c r="AD20" s="40"/>
      <c r="AE20" s="40"/>
      <c r="AF20" s="40"/>
      <c r="AG20" s="40"/>
      <c r="AH20" s="40"/>
      <c r="AI20" s="21"/>
      <c r="AJ20" s="48"/>
      <c r="AK20" s="40"/>
      <c r="AL20" s="61"/>
    </row>
    <row r="21" spans="1:39" s="11" customFormat="1" ht="15.75" customHeight="1">
      <c r="A21" s="230"/>
      <c r="B21" s="22"/>
      <c r="C21" s="22"/>
      <c r="D21" s="40"/>
      <c r="E21" s="21"/>
      <c r="F21" s="21"/>
      <c r="G21" s="171" t="s">
        <v>1411</v>
      </c>
      <c r="H21" s="48"/>
      <c r="I21" s="40"/>
      <c r="J21" s="40"/>
      <c r="K21" s="40"/>
      <c r="L21" s="40"/>
      <c r="M21" s="22"/>
      <c r="N21" s="40"/>
      <c r="O21" s="48"/>
      <c r="P21" s="40"/>
      <c r="Q21" s="40"/>
      <c r="R21" s="40"/>
      <c r="S21" s="40"/>
      <c r="T21" s="40"/>
      <c r="U21" s="40"/>
      <c r="V21" s="48"/>
      <c r="W21" s="21"/>
      <c r="X21" s="40"/>
      <c r="Y21" s="40"/>
      <c r="Z21" s="40"/>
      <c r="AA21" s="40"/>
      <c r="AB21" s="40"/>
      <c r="AC21" s="48"/>
      <c r="AD21" s="40"/>
      <c r="AE21" s="40"/>
      <c r="AF21" s="40"/>
      <c r="AG21" s="40"/>
      <c r="AH21" s="40"/>
      <c r="AI21" s="21"/>
      <c r="AJ21" s="48"/>
      <c r="AK21" s="40"/>
      <c r="AL21" s="61"/>
    </row>
    <row r="22" spans="1:39" s="11" customFormat="1" ht="15.75" customHeight="1">
      <c r="A22" s="230"/>
      <c r="B22" s="22"/>
      <c r="C22" s="22"/>
      <c r="D22" s="40"/>
      <c r="E22" s="21"/>
      <c r="F22" s="21"/>
      <c r="G22" s="171" t="s">
        <v>1410</v>
      </c>
      <c r="H22" s="48"/>
      <c r="I22" s="40"/>
      <c r="J22" s="40"/>
      <c r="K22" s="40"/>
      <c r="L22" s="40"/>
      <c r="M22" s="40"/>
      <c r="N22" s="40"/>
      <c r="O22" s="48"/>
      <c r="P22" s="40"/>
      <c r="Q22" s="40"/>
      <c r="R22" s="40"/>
      <c r="S22" s="40"/>
      <c r="T22" s="40"/>
      <c r="U22" s="40"/>
      <c r="V22" s="48"/>
      <c r="W22" s="21"/>
      <c r="X22" s="40"/>
      <c r="Y22" s="40"/>
      <c r="Z22" s="40"/>
      <c r="AA22" s="40"/>
      <c r="AB22" s="40"/>
      <c r="AC22" s="48"/>
      <c r="AD22" s="40"/>
      <c r="AE22" s="40"/>
      <c r="AF22" s="40"/>
      <c r="AG22" s="40"/>
      <c r="AH22" s="22"/>
      <c r="AI22" s="21"/>
      <c r="AJ22" s="48"/>
      <c r="AK22" s="58"/>
      <c r="AL22" s="61"/>
    </row>
    <row r="23" spans="1:39" s="11" customFormat="1" ht="15.75" customHeight="1">
      <c r="A23" s="230"/>
      <c r="B23" s="91"/>
      <c r="C23" s="22"/>
      <c r="D23" s="40"/>
      <c r="E23" s="21"/>
      <c r="F23" s="21"/>
      <c r="G23" s="171" t="s">
        <v>1409</v>
      </c>
      <c r="H23" s="48"/>
      <c r="I23" s="40"/>
      <c r="J23" s="40"/>
      <c r="K23" s="40"/>
      <c r="L23" s="40"/>
      <c r="M23" s="40"/>
      <c r="N23" s="40"/>
      <c r="O23" s="48"/>
      <c r="P23" s="40"/>
      <c r="Q23" s="40"/>
      <c r="R23" s="40"/>
      <c r="S23" s="40"/>
      <c r="T23" s="40"/>
      <c r="U23" s="40"/>
      <c r="V23" s="48"/>
      <c r="W23" s="21"/>
      <c r="X23" s="40"/>
      <c r="Y23" s="40"/>
      <c r="Z23" s="40"/>
      <c r="AA23" s="40"/>
      <c r="AB23" s="40"/>
      <c r="AC23" s="48"/>
      <c r="AD23" s="40"/>
      <c r="AE23" s="40"/>
      <c r="AF23" s="40"/>
      <c r="AG23" s="40"/>
      <c r="AH23" s="91"/>
      <c r="AI23" s="21"/>
      <c r="AJ23" s="48"/>
      <c r="AK23" s="156"/>
      <c r="AL23" s="61"/>
    </row>
    <row r="24" spans="1:39" s="11" customFormat="1" ht="15.75" customHeight="1">
      <c r="A24" s="230"/>
      <c r="B24" s="91"/>
      <c r="C24" s="22"/>
      <c r="D24" s="40"/>
      <c r="E24" s="21"/>
      <c r="F24" s="21"/>
      <c r="G24" s="70" t="s">
        <v>109</v>
      </c>
      <c r="H24" s="48"/>
      <c r="I24" s="40"/>
      <c r="J24" s="40"/>
      <c r="K24" s="40"/>
      <c r="L24" s="40"/>
      <c r="M24" s="40"/>
      <c r="N24" s="40"/>
      <c r="O24" s="48"/>
      <c r="P24" s="40"/>
      <c r="Q24" s="40"/>
      <c r="R24" s="40"/>
      <c r="S24" s="40"/>
      <c r="T24" s="40"/>
      <c r="U24" s="40"/>
      <c r="V24" s="48"/>
      <c r="W24" s="21"/>
      <c r="X24" s="40"/>
      <c r="Y24" s="40"/>
      <c r="Z24" s="40"/>
      <c r="AA24" s="40"/>
      <c r="AB24" s="40"/>
      <c r="AC24" s="48"/>
      <c r="AD24" s="40"/>
      <c r="AE24" s="40"/>
      <c r="AF24" s="40"/>
      <c r="AG24" s="40"/>
      <c r="AH24" s="91"/>
      <c r="AI24" s="21"/>
      <c r="AJ24" s="48"/>
      <c r="AK24" s="156"/>
      <c r="AL24" s="61"/>
    </row>
    <row r="25" spans="1:39" s="11" customFormat="1" ht="15.75" customHeight="1">
      <c r="A25" s="230"/>
      <c r="B25" s="91"/>
      <c r="C25" s="22"/>
      <c r="D25" s="40"/>
      <c r="E25" s="21"/>
      <c r="F25" s="21"/>
      <c r="G25" s="171" t="s">
        <v>1408</v>
      </c>
      <c r="H25" s="48"/>
      <c r="I25" s="40"/>
      <c r="J25" s="40"/>
      <c r="K25" s="40"/>
      <c r="L25" s="40"/>
      <c r="M25" s="40"/>
      <c r="O25" s="48"/>
      <c r="P25" s="40"/>
      <c r="Q25" s="22"/>
      <c r="R25" s="40"/>
      <c r="S25" s="40"/>
      <c r="T25" s="40"/>
      <c r="U25" s="40"/>
      <c r="V25" s="48"/>
      <c r="W25" s="21"/>
      <c r="X25" s="40"/>
      <c r="Y25" s="40"/>
      <c r="Z25" s="40"/>
      <c r="AA25" s="40"/>
      <c r="AB25" s="21"/>
      <c r="AC25" s="48"/>
      <c r="AD25" s="40"/>
      <c r="AF25" s="40"/>
      <c r="AG25" s="40"/>
      <c r="AH25" s="91"/>
      <c r="AI25" s="40"/>
      <c r="AJ25" s="48"/>
      <c r="AK25" s="156"/>
      <c r="AL25" s="61"/>
    </row>
    <row r="26" spans="1:39" s="11" customFormat="1" ht="15.75" customHeight="1">
      <c r="A26" s="230"/>
      <c r="B26" s="91"/>
      <c r="C26" s="22"/>
      <c r="D26" s="40"/>
      <c r="E26" s="21"/>
      <c r="F26" s="21"/>
      <c r="G26" s="171" t="s">
        <v>1407</v>
      </c>
      <c r="H26" s="48"/>
      <c r="I26" s="40"/>
      <c r="J26" s="40"/>
      <c r="K26" s="40"/>
      <c r="L26" s="40"/>
      <c r="M26" s="40"/>
      <c r="N26" s="21"/>
      <c r="O26" s="48"/>
      <c r="P26" s="40"/>
      <c r="Q26" s="22"/>
      <c r="R26" s="40"/>
      <c r="S26" s="40"/>
      <c r="T26" s="40"/>
      <c r="U26" s="21"/>
      <c r="V26" s="48"/>
      <c r="W26" s="21"/>
      <c r="X26" s="40"/>
      <c r="Y26" s="40"/>
      <c r="Z26" s="40"/>
      <c r="AA26" s="40"/>
      <c r="AB26" s="21"/>
      <c r="AC26" s="48"/>
      <c r="AD26" s="40"/>
      <c r="AE26" s="40"/>
      <c r="AF26" s="40"/>
      <c r="AG26" s="40"/>
      <c r="AH26" s="97"/>
      <c r="AI26" s="40"/>
      <c r="AJ26" s="48"/>
      <c r="AK26" s="156"/>
      <c r="AL26" s="61"/>
    </row>
    <row r="27" spans="1:39" s="11" customFormat="1" ht="15.75" customHeight="1">
      <c r="A27" s="230"/>
      <c r="B27" s="91"/>
      <c r="C27" s="22"/>
      <c r="D27" s="40"/>
      <c r="E27" s="21"/>
      <c r="F27" s="21"/>
      <c r="G27" s="171" t="s">
        <v>1406</v>
      </c>
      <c r="H27" s="48"/>
      <c r="I27" s="40"/>
      <c r="J27" s="40"/>
      <c r="K27" s="40"/>
      <c r="L27" s="40"/>
      <c r="M27" s="40"/>
      <c r="N27" s="21"/>
      <c r="O27" s="48"/>
      <c r="P27" s="40"/>
      <c r="Q27" s="22"/>
      <c r="R27" s="40"/>
      <c r="S27" s="40"/>
      <c r="T27" s="40"/>
      <c r="U27" s="21"/>
      <c r="V27" s="48"/>
      <c r="W27" s="21"/>
      <c r="X27" s="40"/>
      <c r="Y27" s="40"/>
      <c r="Z27" s="40"/>
      <c r="AA27" s="40"/>
      <c r="AB27" s="21"/>
      <c r="AC27" s="48"/>
      <c r="AD27" s="40"/>
      <c r="AE27" s="40"/>
      <c r="AF27" s="40"/>
      <c r="AG27" s="40"/>
      <c r="AH27" s="97"/>
      <c r="AI27" s="40"/>
      <c r="AJ27" s="48"/>
      <c r="AK27" s="156"/>
      <c r="AL27" s="61"/>
    </row>
    <row r="28" spans="1:39" s="11" customFormat="1" ht="15.75" customHeight="1">
      <c r="A28" s="230"/>
      <c r="B28" s="91"/>
      <c r="C28" s="22"/>
      <c r="D28" s="40"/>
      <c r="E28" s="21"/>
      <c r="F28" s="21"/>
      <c r="G28" s="195" t="s">
        <v>1365</v>
      </c>
      <c r="H28" s="98"/>
      <c r="I28" s="40"/>
      <c r="J28" s="40"/>
      <c r="K28" s="40"/>
      <c r="L28" s="40"/>
      <c r="M28" s="40"/>
      <c r="N28" s="21"/>
      <c r="O28" s="48"/>
      <c r="P28" s="40"/>
      <c r="Q28" s="22"/>
      <c r="R28" s="40"/>
      <c r="S28" s="40"/>
      <c r="T28" s="40"/>
      <c r="U28" s="21"/>
      <c r="V28" s="48"/>
      <c r="W28" s="21"/>
      <c r="X28" s="40"/>
      <c r="Y28" s="40"/>
      <c r="Z28" s="40"/>
      <c r="AA28" s="40"/>
      <c r="AB28" s="21"/>
      <c r="AC28" s="48"/>
      <c r="AD28" s="40"/>
      <c r="AE28" s="40"/>
      <c r="AF28" s="40"/>
      <c r="AG28" s="40"/>
      <c r="AH28" s="97"/>
      <c r="AI28" s="40"/>
      <c r="AJ28" s="48"/>
      <c r="AK28" s="156"/>
      <c r="AL28" s="61"/>
    </row>
    <row r="29" spans="1:39" s="11" customFormat="1" ht="15.75" customHeight="1">
      <c r="A29" s="230"/>
      <c r="B29" s="24"/>
      <c r="C29" s="56"/>
      <c r="D29" s="24"/>
      <c r="E29" s="56"/>
      <c r="F29" s="24"/>
      <c r="G29" s="233">
        <f>900+627+300+300+300+300+300+300+873+500+500+336+554+608+505</f>
        <v>7203</v>
      </c>
      <c r="H29" s="234"/>
      <c r="I29" s="24"/>
      <c r="J29" s="24"/>
      <c r="K29" s="24"/>
      <c r="L29" s="24"/>
      <c r="M29" s="233">
        <f>5000+300+608+568+3000+8200+1200+1200</f>
        <v>20076</v>
      </c>
      <c r="N29" s="234"/>
      <c r="O29" s="25"/>
      <c r="P29" s="24"/>
      <c r="Q29" s="24"/>
      <c r="R29" s="24"/>
      <c r="S29" s="24"/>
      <c r="T29" s="24"/>
      <c r="U29" s="24"/>
      <c r="V29" s="25"/>
      <c r="W29" s="24"/>
      <c r="X29" s="24"/>
      <c r="Y29" s="24"/>
      <c r="Z29" s="24"/>
      <c r="AA29" s="24"/>
      <c r="AB29" s="24"/>
      <c r="AC29" s="25"/>
      <c r="AD29" s="24"/>
      <c r="AE29" s="24"/>
      <c r="AF29" s="24"/>
      <c r="AG29" s="233">
        <f>198+628+600+400</f>
        <v>1826</v>
      </c>
      <c r="AH29" s="234"/>
      <c r="AI29" s="24"/>
      <c r="AJ29" s="24"/>
      <c r="AK29" s="24"/>
      <c r="AL29" s="64"/>
    </row>
    <row r="30" spans="1:39" s="11" customFormat="1" ht="2.25" customHeight="1">
      <c r="A30" s="26"/>
      <c r="B30" s="27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0"/>
    </row>
    <row r="31" spans="1:39" s="11" customFormat="1" ht="19.5" customHeight="1">
      <c r="A31" s="12" t="s">
        <v>0</v>
      </c>
      <c r="B31" s="16"/>
      <c r="C31" s="16"/>
      <c r="D31" s="16"/>
      <c r="E31" s="16"/>
      <c r="F31" s="16"/>
      <c r="G31" s="16"/>
      <c r="H31" s="25"/>
      <c r="I31" s="16">
        <v>1120</v>
      </c>
      <c r="J31" s="16">
        <v>1540</v>
      </c>
      <c r="K31" s="16">
        <v>1540</v>
      </c>
      <c r="L31" s="16">
        <v>1540</v>
      </c>
      <c r="M31" s="16">
        <v>1540</v>
      </c>
      <c r="N31" s="16">
        <v>1160</v>
      </c>
      <c r="O31" s="25"/>
      <c r="P31" s="16">
        <v>1160</v>
      </c>
      <c r="Q31" s="16">
        <v>1380</v>
      </c>
      <c r="R31" s="16">
        <v>1600</v>
      </c>
      <c r="S31" s="16">
        <v>1380</v>
      </c>
      <c r="T31" s="16">
        <v>1600</v>
      </c>
      <c r="U31" s="16">
        <v>1380</v>
      </c>
      <c r="V31" s="25"/>
      <c r="W31" s="16">
        <v>1380</v>
      </c>
      <c r="X31" s="16">
        <v>1380</v>
      </c>
      <c r="Y31" s="16">
        <v>1380</v>
      </c>
      <c r="Z31" s="16">
        <v>1380</v>
      </c>
      <c r="AA31" s="16">
        <v>1380</v>
      </c>
      <c r="AB31" s="16">
        <v>1380</v>
      </c>
      <c r="AC31" s="25"/>
      <c r="AD31" s="16">
        <v>1380</v>
      </c>
      <c r="AE31" s="16">
        <v>1380</v>
      </c>
      <c r="AF31" s="16">
        <v>1380</v>
      </c>
      <c r="AG31" s="16">
        <v>1380</v>
      </c>
      <c r="AH31" s="51">
        <v>1380</v>
      </c>
      <c r="AI31" s="16">
        <v>1160</v>
      </c>
      <c r="AJ31" s="25"/>
      <c r="AK31" s="51"/>
      <c r="AL31" s="129"/>
      <c r="AM31" s="17">
        <f>+SUM(B31:AL31)</f>
        <v>33280</v>
      </c>
    </row>
    <row r="32" spans="1:39" s="17" customFormat="1" ht="19.5" customHeight="1">
      <c r="A32" s="12" t="s">
        <v>18</v>
      </c>
      <c r="B32" s="122">
        <v>11</v>
      </c>
      <c r="C32" s="122">
        <v>11</v>
      </c>
      <c r="D32" s="122">
        <v>11</v>
      </c>
      <c r="E32" s="122">
        <v>11</v>
      </c>
      <c r="F32" s="122">
        <v>8</v>
      </c>
      <c r="G32" s="122">
        <v>8</v>
      </c>
      <c r="H32" s="25"/>
      <c r="I32" s="18">
        <v>11</v>
      </c>
      <c r="J32" s="18">
        <v>11</v>
      </c>
      <c r="K32" s="18">
        <v>11</v>
      </c>
      <c r="L32" s="18">
        <v>11</v>
      </c>
      <c r="M32" s="18">
        <v>8</v>
      </c>
      <c r="N32" s="18">
        <v>8</v>
      </c>
      <c r="O32" s="25"/>
      <c r="P32" s="18">
        <v>9.5</v>
      </c>
      <c r="Q32" s="18">
        <v>11</v>
      </c>
      <c r="R32" s="18">
        <v>9.5</v>
      </c>
      <c r="S32" s="18">
        <v>11</v>
      </c>
      <c r="T32" s="18">
        <v>9.5</v>
      </c>
      <c r="U32" s="18">
        <v>9.5</v>
      </c>
      <c r="V32" s="25"/>
      <c r="W32" s="192">
        <v>9.5</v>
      </c>
      <c r="X32" s="192">
        <v>9.5</v>
      </c>
      <c r="Y32" s="192">
        <v>9.5</v>
      </c>
      <c r="Z32" s="192">
        <v>9.5</v>
      </c>
      <c r="AA32" s="192">
        <v>9.5</v>
      </c>
      <c r="AB32" s="192">
        <v>9.5</v>
      </c>
      <c r="AC32" s="193"/>
      <c r="AD32" s="192">
        <v>9.5</v>
      </c>
      <c r="AE32" s="192">
        <v>9.5</v>
      </c>
      <c r="AF32" s="192">
        <v>9.5</v>
      </c>
      <c r="AG32" s="192">
        <v>9.5</v>
      </c>
      <c r="AH32" s="18">
        <v>8</v>
      </c>
      <c r="AI32" s="18">
        <v>8</v>
      </c>
      <c r="AJ32" s="25"/>
      <c r="AK32" s="18">
        <v>8</v>
      </c>
      <c r="AL32" s="18">
        <v>8</v>
      </c>
    </row>
    <row r="33" spans="1:38" s="17" customFormat="1" ht="17.25" customHeight="1">
      <c r="A33" s="2" t="s">
        <v>19</v>
      </c>
      <c r="B33" s="41"/>
      <c r="C33" s="41"/>
      <c r="D33" s="41"/>
      <c r="E33" s="41"/>
      <c r="F33" s="41"/>
      <c r="G33" s="41"/>
      <c r="H33" s="25"/>
      <c r="I33" s="41" t="s">
        <v>98</v>
      </c>
      <c r="J33" s="41"/>
      <c r="K33" s="41"/>
      <c r="L33" s="41"/>
      <c r="M33" s="41"/>
      <c r="N33" s="41" t="s">
        <v>345</v>
      </c>
      <c r="O33" s="25"/>
      <c r="P33" s="41"/>
      <c r="Q33" s="41"/>
      <c r="R33" s="41"/>
      <c r="S33" s="41"/>
      <c r="T33" s="41"/>
      <c r="U33" s="41"/>
      <c r="V33" s="25"/>
      <c r="W33" s="41"/>
      <c r="X33" s="41"/>
      <c r="Y33" s="41"/>
      <c r="Z33" s="41"/>
      <c r="AA33" s="41"/>
      <c r="AB33" s="41"/>
      <c r="AC33" s="25"/>
      <c r="AD33" s="41"/>
      <c r="AE33" s="41"/>
      <c r="AF33" s="41"/>
      <c r="AG33" s="41"/>
      <c r="AH33" s="41"/>
      <c r="AI33" s="41"/>
      <c r="AJ33" s="25"/>
      <c r="AK33" s="41"/>
      <c r="AL33" s="60"/>
    </row>
    <row r="34" spans="1:38" s="17" customFormat="1" ht="17.25" customHeight="1">
      <c r="A34" s="2" t="s">
        <v>20</v>
      </c>
      <c r="B34" s="20"/>
      <c r="C34" s="20"/>
      <c r="D34" s="20"/>
      <c r="E34" s="20"/>
      <c r="F34" s="20"/>
      <c r="G34" s="20"/>
      <c r="H34" s="25"/>
      <c r="I34" s="20"/>
      <c r="J34" s="20"/>
      <c r="K34" s="20"/>
      <c r="L34" s="20"/>
      <c r="M34" s="20"/>
      <c r="N34" s="20"/>
      <c r="O34" s="25"/>
      <c r="P34" s="20"/>
      <c r="Q34" s="20"/>
      <c r="R34" s="20"/>
      <c r="S34" s="20"/>
      <c r="T34" s="20"/>
      <c r="U34" s="20"/>
      <c r="V34" s="25"/>
      <c r="W34" s="20"/>
      <c r="X34" s="20"/>
      <c r="Y34" s="20"/>
      <c r="Z34" s="20"/>
      <c r="AA34" s="20"/>
      <c r="AB34" s="20"/>
      <c r="AC34" s="25"/>
      <c r="AD34" s="20"/>
      <c r="AE34" s="20"/>
      <c r="AF34" s="20"/>
      <c r="AG34" s="20"/>
      <c r="AH34" s="20"/>
      <c r="AI34" s="20"/>
      <c r="AJ34" s="25"/>
      <c r="AK34" s="20"/>
      <c r="AL34" s="60"/>
    </row>
    <row r="35" spans="1:38" s="11" customFormat="1" ht="15" customHeight="1">
      <c r="A35" s="229" t="s">
        <v>24</v>
      </c>
      <c r="B35" s="46"/>
      <c r="C35" s="49"/>
      <c r="D35" s="40"/>
      <c r="E35" s="47"/>
      <c r="F35" s="40"/>
      <c r="G35" s="40"/>
      <c r="H35" s="48"/>
      <c r="I35" s="50" t="s">
        <v>1532</v>
      </c>
      <c r="J35" s="40"/>
      <c r="K35" s="40"/>
      <c r="L35" s="40"/>
      <c r="M35" s="40"/>
      <c r="N35" s="40"/>
      <c r="O35" s="48"/>
      <c r="P35" s="40"/>
      <c r="R35" s="50" t="s">
        <v>1304</v>
      </c>
      <c r="S35" s="40"/>
      <c r="T35" s="40"/>
      <c r="V35" s="48"/>
      <c r="W35" s="40"/>
      <c r="X35" s="40"/>
      <c r="Z35" s="40"/>
      <c r="AA35" s="40"/>
      <c r="AB35" s="50"/>
      <c r="AC35" s="48"/>
      <c r="AD35" s="54"/>
      <c r="AE35" s="40"/>
      <c r="AF35" s="40"/>
      <c r="AG35" s="40"/>
      <c r="AH35" s="42" t="s">
        <v>788</v>
      </c>
      <c r="AI35" s="47"/>
      <c r="AJ35" s="48"/>
      <c r="AK35" s="62"/>
      <c r="AL35" s="61"/>
    </row>
    <row r="36" spans="1:38" s="11" customFormat="1" ht="15" customHeight="1">
      <c r="A36" s="230"/>
      <c r="B36" s="22"/>
      <c r="C36" s="22"/>
      <c r="D36" s="40"/>
      <c r="E36" s="21"/>
      <c r="F36" s="40"/>
      <c r="G36" s="40"/>
      <c r="H36" s="48"/>
      <c r="I36" s="171" t="s">
        <v>1534</v>
      </c>
      <c r="J36" s="40"/>
      <c r="K36" s="40"/>
      <c r="L36" s="40"/>
      <c r="M36" s="40"/>
      <c r="N36" s="40"/>
      <c r="O36" s="48"/>
      <c r="P36" s="40"/>
      <c r="Q36" s="40"/>
      <c r="R36" s="22" t="s">
        <v>818</v>
      </c>
      <c r="S36" s="40"/>
      <c r="T36" s="40"/>
      <c r="V36" s="48"/>
      <c r="W36" s="40"/>
      <c r="X36" s="40"/>
      <c r="Y36" s="54"/>
      <c r="Z36" s="40"/>
      <c r="AA36" s="40"/>
      <c r="AB36" s="22"/>
      <c r="AC36" s="48"/>
      <c r="AD36" s="22"/>
      <c r="AE36" s="40"/>
      <c r="AF36" s="40"/>
      <c r="AG36" s="40"/>
      <c r="AH36" s="22" t="s">
        <v>1127</v>
      </c>
      <c r="AI36" s="21"/>
      <c r="AJ36" s="48"/>
      <c r="AK36" s="58"/>
      <c r="AL36" s="61"/>
    </row>
    <row r="37" spans="1:38" s="11" customFormat="1" ht="15" customHeight="1">
      <c r="A37" s="230"/>
      <c r="B37" s="22"/>
      <c r="C37" s="22"/>
      <c r="D37" s="40"/>
      <c r="E37" s="21"/>
      <c r="F37" s="40"/>
      <c r="G37" s="40"/>
      <c r="H37" s="48"/>
      <c r="I37" s="213" t="s">
        <v>1384</v>
      </c>
      <c r="J37" s="40"/>
      <c r="K37" s="40"/>
      <c r="L37" s="40"/>
      <c r="M37" s="40"/>
      <c r="N37" s="40"/>
      <c r="O37" s="48"/>
      <c r="P37" s="40"/>
      <c r="Q37" s="40"/>
      <c r="R37" s="22" t="s">
        <v>819</v>
      </c>
      <c r="S37" s="40"/>
      <c r="T37" s="40"/>
      <c r="U37" s="40"/>
      <c r="V37" s="48"/>
      <c r="W37" s="40"/>
      <c r="X37" s="40"/>
      <c r="Y37" s="58"/>
      <c r="Z37" s="40"/>
      <c r="AA37" s="40"/>
      <c r="AB37" s="22"/>
      <c r="AC37" s="48"/>
      <c r="AD37" s="40"/>
      <c r="AE37" s="40"/>
      <c r="AF37" s="40"/>
      <c r="AG37" s="40"/>
      <c r="AH37" s="209" t="s">
        <v>1331</v>
      </c>
      <c r="AI37" s="21"/>
      <c r="AJ37" s="48"/>
      <c r="AK37" s="58"/>
      <c r="AL37" s="61"/>
    </row>
    <row r="38" spans="1:38" s="11" customFormat="1" ht="15" customHeight="1">
      <c r="A38" s="230"/>
      <c r="B38" s="22"/>
      <c r="C38" s="55"/>
      <c r="D38" s="40"/>
      <c r="E38" s="50"/>
      <c r="F38" s="40"/>
      <c r="G38" s="21"/>
      <c r="H38" s="48"/>
      <c r="I38" s="171" t="s">
        <v>1617</v>
      </c>
      <c r="J38" s="40"/>
      <c r="K38" s="40"/>
      <c r="L38" s="40"/>
      <c r="M38" s="40"/>
      <c r="N38" s="40"/>
      <c r="O38" s="48"/>
      <c r="P38" s="40"/>
      <c r="Q38" s="40"/>
      <c r="R38" s="96" t="s">
        <v>1616</v>
      </c>
      <c r="S38" s="40"/>
      <c r="T38" s="40"/>
      <c r="U38" s="40"/>
      <c r="V38" s="48"/>
      <c r="W38" s="40"/>
      <c r="X38" s="40"/>
      <c r="Y38" s="58"/>
      <c r="Z38" s="40"/>
      <c r="AA38" s="40"/>
      <c r="AB38" s="22"/>
      <c r="AC38" s="48"/>
      <c r="AD38" s="40"/>
      <c r="AE38" s="40"/>
      <c r="AF38" s="40"/>
      <c r="AG38" s="40"/>
      <c r="AH38" s="40"/>
      <c r="AI38" s="21"/>
      <c r="AJ38" s="48"/>
      <c r="AK38" s="58"/>
      <c r="AL38" s="61"/>
    </row>
    <row r="39" spans="1:38" s="11" customFormat="1" ht="15" customHeight="1">
      <c r="A39" s="230"/>
      <c r="B39" s="22"/>
      <c r="C39" s="22"/>
      <c r="D39" s="40"/>
      <c r="E39" s="40"/>
      <c r="F39" s="40"/>
      <c r="G39" s="21"/>
      <c r="H39" s="48"/>
      <c r="I39" s="22" t="s">
        <v>817</v>
      </c>
      <c r="J39" s="40"/>
      <c r="K39" s="40"/>
      <c r="L39" s="40"/>
      <c r="M39" s="40"/>
      <c r="N39" s="40"/>
      <c r="O39" s="48"/>
      <c r="P39" s="40"/>
      <c r="Q39" s="40"/>
      <c r="R39" s="54" t="s">
        <v>788</v>
      </c>
      <c r="S39" s="40"/>
      <c r="T39" s="40"/>
      <c r="U39" s="40"/>
      <c r="V39" s="48"/>
      <c r="W39" s="40"/>
      <c r="X39" s="40"/>
      <c r="Y39" s="58"/>
      <c r="AA39" s="40"/>
      <c r="AB39" s="22"/>
      <c r="AC39" s="48"/>
      <c r="AD39" s="40"/>
      <c r="AE39" s="40"/>
      <c r="AF39" s="40"/>
      <c r="AG39" s="40"/>
      <c r="AH39" s="50"/>
      <c r="AI39" s="21"/>
      <c r="AJ39" s="48"/>
      <c r="AK39" s="58"/>
      <c r="AL39" s="61"/>
    </row>
    <row r="40" spans="1:38" s="11" customFormat="1" ht="15" customHeight="1">
      <c r="A40" s="230"/>
      <c r="B40" s="22"/>
      <c r="C40" s="22"/>
      <c r="D40" s="40"/>
      <c r="E40" s="40"/>
      <c r="F40" s="40"/>
      <c r="G40" s="21"/>
      <c r="H40" s="48"/>
      <c r="I40" s="22" t="s">
        <v>816</v>
      </c>
      <c r="J40" s="40"/>
      <c r="K40" s="40"/>
      <c r="L40" s="40"/>
      <c r="M40" s="40"/>
      <c r="N40" s="40"/>
      <c r="O40" s="48"/>
      <c r="P40" s="40"/>
      <c r="Q40" s="40"/>
      <c r="R40" s="58" t="s">
        <v>1618</v>
      </c>
      <c r="S40" s="40"/>
      <c r="T40" s="40"/>
      <c r="U40" s="40"/>
      <c r="V40" s="48"/>
      <c r="W40" s="40"/>
      <c r="X40" s="40"/>
      <c r="Y40" s="58"/>
      <c r="Z40" s="40"/>
      <c r="AA40" s="40"/>
      <c r="AB40" s="40"/>
      <c r="AC40" s="48"/>
      <c r="AD40" s="40"/>
      <c r="AE40" s="40"/>
      <c r="AF40" s="40"/>
      <c r="AG40" s="40"/>
      <c r="AH40" s="40"/>
      <c r="AI40" s="21"/>
      <c r="AJ40" s="48"/>
      <c r="AK40" s="58"/>
      <c r="AL40" s="61"/>
    </row>
    <row r="41" spans="1:38" s="11" customFormat="1" ht="15" customHeight="1">
      <c r="A41" s="230"/>
      <c r="B41" s="22"/>
      <c r="C41" s="22"/>
      <c r="D41" s="40"/>
      <c r="E41" s="22"/>
      <c r="F41" s="40"/>
      <c r="G41" s="21"/>
      <c r="H41" s="48"/>
      <c r="I41" s="40"/>
      <c r="J41" s="40"/>
      <c r="K41" s="40"/>
      <c r="L41" s="40"/>
      <c r="M41" s="40"/>
      <c r="N41" s="40"/>
      <c r="O41" s="48"/>
      <c r="P41" s="40"/>
      <c r="Q41" s="40"/>
      <c r="R41" s="58" t="s">
        <v>1619</v>
      </c>
      <c r="S41" s="40"/>
      <c r="T41" s="40"/>
      <c r="U41" s="40"/>
      <c r="V41" s="48"/>
      <c r="W41" s="40"/>
      <c r="X41" s="40"/>
      <c r="Y41" s="22"/>
      <c r="Z41" s="40"/>
      <c r="AA41" s="40"/>
      <c r="AB41" s="40"/>
      <c r="AC41" s="48"/>
      <c r="AD41" s="40"/>
      <c r="AE41" s="40"/>
      <c r="AF41" s="22"/>
      <c r="AG41" s="40"/>
      <c r="AH41" s="40"/>
      <c r="AI41" s="21"/>
      <c r="AJ41" s="48"/>
      <c r="AK41" s="58"/>
      <c r="AL41" s="61"/>
    </row>
    <row r="42" spans="1:38" s="11" customFormat="1" ht="15" customHeight="1">
      <c r="A42" s="230"/>
      <c r="B42" s="91" t="s">
        <v>909</v>
      </c>
      <c r="C42" s="22"/>
      <c r="D42" s="40"/>
      <c r="E42" s="22"/>
      <c r="F42" s="40"/>
      <c r="G42" s="21"/>
      <c r="H42" s="48"/>
      <c r="I42" s="40"/>
      <c r="J42" s="40"/>
      <c r="K42" s="40"/>
      <c r="L42" s="40"/>
      <c r="M42" s="40"/>
      <c r="N42" s="40"/>
      <c r="O42" s="48"/>
      <c r="P42" s="40"/>
      <c r="Q42" s="40"/>
      <c r="R42" s="58" t="s">
        <v>1620</v>
      </c>
      <c r="S42" s="40"/>
      <c r="T42" s="40"/>
      <c r="U42" s="40"/>
      <c r="V42" s="48"/>
      <c r="W42" s="40"/>
      <c r="X42" s="40"/>
      <c r="Y42" s="22"/>
      <c r="Z42" s="40"/>
      <c r="AA42" s="40"/>
      <c r="AB42" s="40"/>
      <c r="AC42" s="48"/>
      <c r="AD42" s="40"/>
      <c r="AE42" s="40"/>
      <c r="AF42" s="22"/>
      <c r="AG42" s="40"/>
      <c r="AH42" s="40"/>
      <c r="AI42" s="21"/>
      <c r="AJ42" s="231">
        <f>+SUM(B52:AL52)</f>
        <v>33344</v>
      </c>
      <c r="AK42" s="246"/>
      <c r="AL42" s="23" t="s">
        <v>1</v>
      </c>
    </row>
    <row r="43" spans="1:38" s="11" customFormat="1" ht="15" customHeight="1">
      <c r="A43" s="230"/>
      <c r="B43" s="22"/>
      <c r="C43" s="22"/>
      <c r="D43" s="40"/>
      <c r="E43" s="22"/>
      <c r="F43" s="40"/>
      <c r="G43" s="21"/>
      <c r="H43" s="48"/>
      <c r="I43" s="40"/>
      <c r="J43" s="40"/>
      <c r="K43" s="40"/>
      <c r="L43" s="40"/>
      <c r="M43" s="40"/>
      <c r="N43" s="40"/>
      <c r="O43" s="48"/>
      <c r="P43" s="40"/>
      <c r="Q43" s="40"/>
      <c r="R43" s="58" t="s">
        <v>1621</v>
      </c>
      <c r="S43" s="40"/>
      <c r="T43" s="40"/>
      <c r="U43" s="40"/>
      <c r="V43" s="48"/>
      <c r="W43" s="40"/>
      <c r="X43" s="40"/>
      <c r="Y43" s="22"/>
      <c r="Z43" s="40"/>
      <c r="AA43" s="40"/>
      <c r="AB43" s="40"/>
      <c r="AC43" s="48"/>
      <c r="AD43" s="40"/>
      <c r="AE43" s="40"/>
      <c r="AF43" s="40"/>
      <c r="AG43" s="40"/>
      <c r="AH43" s="40"/>
      <c r="AI43" s="21"/>
      <c r="AJ43" s="48"/>
      <c r="AK43" s="58"/>
      <c r="AL43" s="61"/>
    </row>
    <row r="44" spans="1:38" s="11" customFormat="1" ht="15" customHeight="1">
      <c r="A44" s="230"/>
      <c r="B44" s="91"/>
      <c r="C44" s="22"/>
      <c r="D44" s="40"/>
      <c r="E44" s="22"/>
      <c r="G44" s="21"/>
      <c r="H44" s="48"/>
      <c r="I44" s="40"/>
      <c r="J44" s="40"/>
      <c r="L44" s="40"/>
      <c r="M44" s="40"/>
      <c r="N44" s="40"/>
      <c r="O44" s="48"/>
      <c r="P44" s="40"/>
      <c r="Q44" s="40"/>
      <c r="R44" s="22" t="s">
        <v>1622</v>
      </c>
      <c r="S44" s="40"/>
      <c r="T44" s="40"/>
      <c r="U44" s="40"/>
      <c r="V44" s="48"/>
      <c r="W44" s="40"/>
      <c r="X44" s="40"/>
      <c r="Y44" s="171"/>
      <c r="Z44" s="40"/>
      <c r="AA44" s="40"/>
      <c r="AB44" s="40"/>
      <c r="AC44" s="48"/>
      <c r="AD44" s="40"/>
      <c r="AE44" s="40"/>
      <c r="AF44" s="40"/>
      <c r="AG44" s="40"/>
      <c r="AH44" s="21"/>
      <c r="AI44" s="21"/>
      <c r="AJ44" s="48"/>
      <c r="AK44" s="58"/>
      <c r="AL44" s="61"/>
    </row>
    <row r="45" spans="1:38" s="11" customFormat="1" ht="15" customHeight="1">
      <c r="A45" s="230"/>
      <c r="B45" s="22"/>
      <c r="C45" s="22"/>
      <c r="D45" s="40"/>
      <c r="F45" s="40"/>
      <c r="G45" s="21"/>
      <c r="H45" s="48"/>
      <c r="I45" s="40"/>
      <c r="J45" s="40"/>
      <c r="K45" s="40"/>
      <c r="L45" s="40"/>
      <c r="M45" s="40"/>
      <c r="N45" s="40"/>
      <c r="O45" s="48"/>
      <c r="P45" s="40"/>
      <c r="Q45" s="40"/>
      <c r="R45" s="22" t="s">
        <v>1623</v>
      </c>
      <c r="S45" s="40"/>
      <c r="T45" s="40"/>
      <c r="U45" s="40"/>
      <c r="V45" s="48"/>
      <c r="W45" s="40"/>
      <c r="X45" s="40"/>
      <c r="Y45" s="171"/>
      <c r="Z45" s="40"/>
      <c r="AA45" s="40"/>
      <c r="AB45" s="40"/>
      <c r="AC45" s="48"/>
      <c r="AD45" s="40"/>
      <c r="AE45" s="22"/>
      <c r="AF45" s="40"/>
      <c r="AG45" s="40"/>
      <c r="AH45" s="21"/>
      <c r="AI45" s="21"/>
      <c r="AJ45" s="48"/>
      <c r="AK45" s="58"/>
      <c r="AL45" s="61"/>
    </row>
    <row r="46" spans="1:38" s="11" customFormat="1" ht="15" customHeight="1">
      <c r="A46" s="230"/>
      <c r="C46" s="22"/>
      <c r="D46" s="40"/>
      <c r="E46" s="21"/>
      <c r="F46" s="40"/>
      <c r="G46" s="21"/>
      <c r="H46" s="48"/>
      <c r="I46" s="40"/>
      <c r="J46" s="40"/>
      <c r="K46" s="40"/>
      <c r="L46" s="40"/>
      <c r="M46" s="40"/>
      <c r="N46" s="40"/>
      <c r="O46" s="48"/>
      <c r="P46" s="40"/>
      <c r="Q46" s="40"/>
      <c r="R46" s="22" t="s">
        <v>1624</v>
      </c>
      <c r="S46" s="40"/>
      <c r="T46" s="40"/>
      <c r="U46" s="40"/>
      <c r="V46" s="48"/>
      <c r="W46" s="40"/>
      <c r="X46" s="40"/>
      <c r="Y46" s="50"/>
      <c r="Z46" s="40"/>
      <c r="AA46" s="40"/>
      <c r="AB46" s="40"/>
      <c r="AC46" s="48"/>
      <c r="AD46" s="40"/>
      <c r="AE46" s="22"/>
      <c r="AF46" s="40"/>
      <c r="AG46" s="21"/>
      <c r="AH46" s="21"/>
      <c r="AI46" s="21"/>
      <c r="AJ46" s="48"/>
      <c r="AK46" s="58"/>
      <c r="AL46" s="61"/>
    </row>
    <row r="47" spans="1:38" s="11" customFormat="1" ht="15" customHeight="1">
      <c r="A47" s="230"/>
      <c r="B47" s="22"/>
      <c r="C47" s="22"/>
      <c r="D47" s="40"/>
      <c r="E47" s="21"/>
      <c r="F47" s="40"/>
      <c r="G47" s="21"/>
      <c r="H47" s="48"/>
      <c r="I47" s="40"/>
      <c r="J47" s="40"/>
      <c r="K47" s="40"/>
      <c r="L47" s="40"/>
      <c r="M47" s="40"/>
      <c r="N47" s="40"/>
      <c r="O47" s="48"/>
      <c r="P47" s="40"/>
      <c r="Q47" s="40"/>
      <c r="R47" s="171" t="s">
        <v>1625</v>
      </c>
      <c r="S47" s="40"/>
      <c r="T47" s="40"/>
      <c r="U47" s="40"/>
      <c r="V47" s="48"/>
      <c r="W47" s="40"/>
      <c r="X47" s="40"/>
      <c r="Y47" s="22"/>
      <c r="AA47" s="40"/>
      <c r="AB47" s="50"/>
      <c r="AC47" s="48"/>
      <c r="AD47" s="40"/>
      <c r="AE47" s="22"/>
      <c r="AF47" s="40"/>
      <c r="AG47" s="21"/>
      <c r="AH47" s="21"/>
      <c r="AI47" s="21"/>
      <c r="AJ47" s="48"/>
      <c r="AK47" s="40"/>
      <c r="AL47" s="61"/>
    </row>
    <row r="48" spans="1:38" s="11" customFormat="1" ht="15" customHeight="1">
      <c r="A48" s="230"/>
      <c r="B48" s="22"/>
      <c r="C48" s="22"/>
      <c r="D48" s="40"/>
      <c r="E48" s="21"/>
      <c r="F48" s="40"/>
      <c r="G48" s="21"/>
      <c r="H48" s="48"/>
      <c r="I48" s="40"/>
      <c r="J48" s="40"/>
      <c r="K48" s="40"/>
      <c r="L48" s="40"/>
      <c r="M48" s="40"/>
      <c r="N48" s="40"/>
      <c r="O48" s="48"/>
      <c r="P48" s="40"/>
      <c r="Q48" s="40"/>
      <c r="R48" s="171" t="s">
        <v>1626</v>
      </c>
      <c r="S48" s="40"/>
      <c r="T48" s="40"/>
      <c r="U48" s="40"/>
      <c r="V48" s="48"/>
      <c r="W48" s="40"/>
      <c r="X48" s="40"/>
      <c r="Y48" s="40"/>
      <c r="Z48" s="22"/>
      <c r="AA48" s="40"/>
      <c r="AB48" s="50"/>
      <c r="AC48" s="48"/>
      <c r="AD48" s="40"/>
      <c r="AE48" s="22"/>
      <c r="AF48" s="40"/>
      <c r="AG48" s="21"/>
      <c r="AH48" s="21"/>
      <c r="AI48" s="21"/>
      <c r="AJ48" s="48"/>
      <c r="AK48" s="40"/>
      <c r="AL48" s="61"/>
    </row>
    <row r="49" spans="1:39" s="11" customFormat="1" ht="15" customHeight="1">
      <c r="A49" s="230"/>
      <c r="B49" s="22"/>
      <c r="C49" s="22"/>
      <c r="D49" s="40"/>
      <c r="E49" s="21"/>
      <c r="F49" s="40"/>
      <c r="G49" s="21"/>
      <c r="H49" s="48"/>
      <c r="I49" s="40"/>
      <c r="J49" s="40"/>
      <c r="K49" s="40"/>
      <c r="L49" s="40"/>
      <c r="M49" s="40"/>
      <c r="N49" s="40"/>
      <c r="O49" s="48"/>
      <c r="P49" s="40"/>
      <c r="Q49" s="40"/>
      <c r="R49" s="50" t="s">
        <v>815</v>
      </c>
      <c r="S49" s="40"/>
      <c r="T49" s="40"/>
      <c r="U49" s="40"/>
      <c r="V49" s="48"/>
      <c r="W49" s="40"/>
      <c r="X49" s="40"/>
      <c r="Y49" s="40"/>
      <c r="Z49" s="40"/>
      <c r="AA49" s="40"/>
      <c r="AB49" s="50"/>
      <c r="AC49" s="48"/>
      <c r="AD49" s="40"/>
      <c r="AE49" s="22"/>
      <c r="AF49" s="40"/>
      <c r="AG49" s="21"/>
      <c r="AH49" s="21"/>
      <c r="AI49" s="21"/>
      <c r="AJ49" s="48"/>
      <c r="AK49" s="40"/>
      <c r="AL49" s="61"/>
    </row>
    <row r="50" spans="1:39" s="11" customFormat="1" ht="15" customHeight="1">
      <c r="A50" s="230"/>
      <c r="B50" s="22"/>
      <c r="C50" s="22"/>
      <c r="D50" s="40"/>
      <c r="E50" s="21"/>
      <c r="F50" s="40"/>
      <c r="G50" s="21"/>
      <c r="H50" s="48"/>
      <c r="I50" s="40"/>
      <c r="J50" s="40"/>
      <c r="K50" s="40"/>
      <c r="L50" s="40"/>
      <c r="M50" s="40"/>
      <c r="N50" s="40"/>
      <c r="O50" s="48"/>
      <c r="P50" s="40"/>
      <c r="Q50" s="40"/>
      <c r="R50" s="22" t="s">
        <v>1591</v>
      </c>
      <c r="S50" s="40"/>
      <c r="T50" s="40"/>
      <c r="U50" s="40"/>
      <c r="V50" s="48"/>
      <c r="W50" s="40"/>
      <c r="X50" s="40"/>
      <c r="Y50" s="40"/>
      <c r="Z50" s="40"/>
      <c r="AA50" s="40"/>
      <c r="AB50" s="50"/>
      <c r="AC50" s="48"/>
      <c r="AD50" s="40"/>
      <c r="AE50" s="22"/>
      <c r="AF50" s="40"/>
      <c r="AG50" s="21"/>
      <c r="AH50" s="21"/>
      <c r="AI50" s="21"/>
      <c r="AJ50" s="48"/>
      <c r="AK50" s="40"/>
      <c r="AL50" s="61"/>
    </row>
    <row r="51" spans="1:39" s="11" customFormat="1" ht="15" customHeight="1">
      <c r="A51" s="230"/>
      <c r="B51" s="22"/>
      <c r="C51" s="22"/>
      <c r="D51" s="40"/>
      <c r="E51" s="21"/>
      <c r="F51" s="40"/>
      <c r="G51" s="21"/>
      <c r="H51" s="48"/>
      <c r="I51" s="40"/>
      <c r="J51" s="40"/>
      <c r="K51" s="40"/>
      <c r="L51" s="40"/>
      <c r="M51" s="40"/>
      <c r="N51" s="40"/>
      <c r="O51" s="48"/>
      <c r="P51" s="40"/>
      <c r="Q51" s="40"/>
      <c r="R51" s="171" t="s">
        <v>1582</v>
      </c>
      <c r="S51" s="40"/>
      <c r="T51" s="40"/>
      <c r="U51" s="40"/>
      <c r="V51" s="48"/>
      <c r="W51" s="40"/>
      <c r="X51" s="40"/>
      <c r="Y51" s="40"/>
      <c r="Z51" s="40"/>
      <c r="AA51" s="40"/>
      <c r="AB51" s="50"/>
      <c r="AC51" s="48"/>
      <c r="AD51" s="40"/>
      <c r="AE51" s="22"/>
      <c r="AF51" s="40"/>
      <c r="AG51" s="21"/>
      <c r="AH51" s="21"/>
      <c r="AI51" s="21"/>
      <c r="AJ51" s="48"/>
      <c r="AK51" s="40"/>
      <c r="AL51" s="61"/>
    </row>
    <row r="52" spans="1:39" s="11" customFormat="1" ht="18.75" customHeight="1">
      <c r="A52" s="230"/>
      <c r="B52" s="24"/>
      <c r="C52" s="56"/>
      <c r="D52" s="24"/>
      <c r="E52" s="56"/>
      <c r="F52" s="56"/>
      <c r="G52" s="56"/>
      <c r="H52" s="56"/>
      <c r="I52" s="233">
        <f>4119+1992+5791+100</f>
        <v>12002</v>
      </c>
      <c r="J52" s="234"/>
      <c r="K52" s="24"/>
      <c r="L52" s="56"/>
      <c r="M52" s="24"/>
      <c r="N52" s="56"/>
      <c r="O52" s="25"/>
      <c r="P52" s="56"/>
      <c r="Q52" s="242">
        <f>300+2100+1800+306+330+444+360+432+935+1+5000+5000+1711+581</f>
        <v>19300</v>
      </c>
      <c r="R52" s="243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7">
        <f>1500+542</f>
        <v>2042</v>
      </c>
      <c r="AI52" s="248"/>
      <c r="AJ52" s="25"/>
      <c r="AK52" s="24"/>
      <c r="AL52" s="64"/>
    </row>
    <row r="53" spans="1:39" s="11" customFormat="1" ht="2.25" customHeight="1">
      <c r="A53" s="26"/>
      <c r="B53" s="27"/>
      <c r="C53" s="27"/>
      <c r="D53" s="27"/>
      <c r="E53" s="28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30"/>
    </row>
    <row r="54" spans="1:39" s="11" customFormat="1" ht="19.5" customHeight="1">
      <c r="A54" s="12" t="s">
        <v>0</v>
      </c>
      <c r="B54" s="16"/>
      <c r="C54" s="16"/>
      <c r="D54" s="16"/>
      <c r="E54" s="16"/>
      <c r="F54" s="16"/>
      <c r="G54" s="68">
        <v>1010</v>
      </c>
      <c r="H54" s="25"/>
      <c r="I54" s="68">
        <v>1010</v>
      </c>
      <c r="J54" s="16">
        <v>1540</v>
      </c>
      <c r="K54" s="16">
        <v>1540</v>
      </c>
      <c r="L54" s="68">
        <v>1390</v>
      </c>
      <c r="M54" s="16">
        <v>1540</v>
      </c>
      <c r="N54" s="16">
        <v>1120</v>
      </c>
      <c r="O54" s="25"/>
      <c r="P54" s="16">
        <v>1120</v>
      </c>
      <c r="Q54" s="68">
        <v>1200</v>
      </c>
      <c r="R54" s="16">
        <v>1330</v>
      </c>
      <c r="S54" s="16">
        <v>1330</v>
      </c>
      <c r="T54" s="51">
        <v>1330</v>
      </c>
      <c r="U54" s="16">
        <v>1330</v>
      </c>
      <c r="V54" s="25"/>
      <c r="W54" s="16">
        <v>1330</v>
      </c>
      <c r="X54" s="16">
        <v>1120</v>
      </c>
      <c r="Y54" s="16">
        <v>1120</v>
      </c>
      <c r="Z54" s="16">
        <v>1120</v>
      </c>
      <c r="AA54" s="16">
        <v>1120</v>
      </c>
      <c r="AB54" s="68">
        <v>1010</v>
      </c>
      <c r="AC54" s="25"/>
      <c r="AD54" s="16">
        <v>1120</v>
      </c>
      <c r="AE54" s="16">
        <v>1120</v>
      </c>
      <c r="AF54" s="16">
        <v>1120</v>
      </c>
      <c r="AG54" s="16">
        <v>1120</v>
      </c>
      <c r="AH54" s="16">
        <v>1120</v>
      </c>
      <c r="AI54" s="16">
        <v>1120</v>
      </c>
      <c r="AJ54" s="25"/>
      <c r="AK54" s="16">
        <v>1120</v>
      </c>
      <c r="AL54" s="129">
        <v>1120</v>
      </c>
      <c r="AM54" s="17">
        <f>+SUM(B54:AL54)</f>
        <v>32570</v>
      </c>
    </row>
    <row r="55" spans="1:39" s="17" customFormat="1" ht="19.5" customHeight="1">
      <c r="A55" s="12" t="s">
        <v>18</v>
      </c>
      <c r="B55" s="122">
        <v>11</v>
      </c>
      <c r="C55" s="122">
        <v>11</v>
      </c>
      <c r="D55" s="122">
        <v>11</v>
      </c>
      <c r="E55" s="122">
        <v>11</v>
      </c>
      <c r="F55" s="122">
        <v>8</v>
      </c>
      <c r="G55" s="122">
        <v>8</v>
      </c>
      <c r="H55" s="25"/>
      <c r="I55" s="192">
        <v>11</v>
      </c>
      <c r="J55" s="192">
        <v>11</v>
      </c>
      <c r="K55" s="192">
        <v>11</v>
      </c>
      <c r="L55" s="192">
        <v>11</v>
      </c>
      <c r="M55" s="192">
        <v>8</v>
      </c>
      <c r="N55" s="192">
        <v>8</v>
      </c>
      <c r="O55" s="25"/>
      <c r="P55" s="18">
        <v>9.5</v>
      </c>
      <c r="Q55" s="18">
        <v>9.5</v>
      </c>
      <c r="R55" s="18">
        <v>9.5</v>
      </c>
      <c r="S55" s="18">
        <v>9.5</v>
      </c>
      <c r="T55" s="18">
        <v>9.5</v>
      </c>
      <c r="U55" s="18">
        <v>9.5</v>
      </c>
      <c r="V55" s="25"/>
      <c r="W55" s="18">
        <v>8</v>
      </c>
      <c r="X55" s="18">
        <v>8</v>
      </c>
      <c r="Y55" s="18">
        <v>8</v>
      </c>
      <c r="Z55" s="18">
        <v>8</v>
      </c>
      <c r="AA55" s="18">
        <v>8</v>
      </c>
      <c r="AB55" s="18">
        <v>8</v>
      </c>
      <c r="AC55" s="25"/>
      <c r="AD55" s="18">
        <v>8</v>
      </c>
      <c r="AE55" s="18">
        <v>8</v>
      </c>
      <c r="AF55" s="18">
        <v>8</v>
      </c>
      <c r="AG55" s="18">
        <v>8</v>
      </c>
      <c r="AH55" s="18">
        <v>8</v>
      </c>
      <c r="AI55" s="18">
        <v>8</v>
      </c>
      <c r="AJ55" s="25"/>
      <c r="AK55" s="18">
        <v>8</v>
      </c>
      <c r="AL55" s="130">
        <v>8</v>
      </c>
    </row>
    <row r="56" spans="1:39" s="17" customFormat="1" ht="17.25" customHeight="1">
      <c r="A56" s="2" t="s">
        <v>19</v>
      </c>
      <c r="B56" s="41"/>
      <c r="C56" s="41"/>
      <c r="D56" s="41"/>
      <c r="E56" s="41"/>
      <c r="F56" s="41"/>
      <c r="G56" s="41" t="s">
        <v>98</v>
      </c>
      <c r="H56" s="25"/>
      <c r="I56" s="41" t="s">
        <v>98</v>
      </c>
      <c r="J56" s="41"/>
      <c r="K56" s="41"/>
      <c r="L56" s="41" t="s">
        <v>98</v>
      </c>
      <c r="M56" s="41"/>
      <c r="N56" s="41"/>
      <c r="O56" s="25"/>
      <c r="P56" s="41"/>
      <c r="Q56" s="41" t="s">
        <v>98</v>
      </c>
      <c r="R56" s="41"/>
      <c r="S56" s="41"/>
      <c r="T56" s="41"/>
      <c r="U56" s="41"/>
      <c r="V56" s="25"/>
      <c r="W56" s="41"/>
      <c r="X56" s="41"/>
      <c r="Y56" s="41"/>
      <c r="Z56" s="41"/>
      <c r="AA56" s="41"/>
      <c r="AB56" s="41" t="s">
        <v>98</v>
      </c>
      <c r="AC56" s="25"/>
      <c r="AD56" s="41"/>
      <c r="AE56" s="41"/>
      <c r="AF56" s="41"/>
      <c r="AG56" s="41"/>
      <c r="AH56" s="41"/>
      <c r="AI56" s="41"/>
      <c r="AJ56" s="25"/>
      <c r="AK56" s="41"/>
      <c r="AL56" s="60"/>
    </row>
    <row r="57" spans="1:39" s="17" customFormat="1" ht="17.25" customHeight="1">
      <c r="A57" s="2" t="s">
        <v>20</v>
      </c>
      <c r="B57" s="20"/>
      <c r="C57" s="20"/>
      <c r="D57" s="20"/>
      <c r="E57" s="20"/>
      <c r="F57" s="20"/>
      <c r="G57" s="20">
        <v>0.9</v>
      </c>
      <c r="H57" s="25"/>
      <c r="I57" s="20">
        <v>0.9</v>
      </c>
      <c r="J57" s="20"/>
      <c r="K57" s="20"/>
      <c r="L57" s="20">
        <v>0.9</v>
      </c>
      <c r="M57" s="20"/>
      <c r="N57" s="20"/>
      <c r="O57" s="25"/>
      <c r="P57" s="20"/>
      <c r="Q57" s="20">
        <v>0.9</v>
      </c>
      <c r="R57" s="20"/>
      <c r="S57" s="20"/>
      <c r="T57" s="20"/>
      <c r="U57" s="20"/>
      <c r="V57" s="25"/>
      <c r="W57" s="20"/>
      <c r="X57" s="20"/>
      <c r="Y57" s="20"/>
      <c r="Z57" s="20"/>
      <c r="AA57" s="20"/>
      <c r="AB57" s="20">
        <v>0.9</v>
      </c>
      <c r="AC57" s="25"/>
      <c r="AD57" s="20"/>
      <c r="AE57" s="20"/>
      <c r="AF57" s="20"/>
      <c r="AG57" s="20"/>
      <c r="AH57" s="20"/>
      <c r="AI57" s="20"/>
      <c r="AJ57" s="25"/>
      <c r="AK57" s="20"/>
      <c r="AL57" s="60"/>
    </row>
    <row r="58" spans="1:39" s="11" customFormat="1" ht="13.5" customHeight="1">
      <c r="A58" s="229" t="s">
        <v>42</v>
      </c>
      <c r="B58" s="46"/>
      <c r="C58" s="49"/>
      <c r="D58" s="40"/>
      <c r="E58" s="47"/>
      <c r="F58" s="47"/>
      <c r="G58" s="203" t="s">
        <v>1421</v>
      </c>
      <c r="H58" s="48"/>
      <c r="J58" s="40"/>
      <c r="L58" s="40"/>
      <c r="M58" s="40"/>
      <c r="N58" s="50" t="s">
        <v>622</v>
      </c>
      <c r="O58" s="48"/>
      <c r="P58" s="40"/>
      <c r="Q58" s="50"/>
      <c r="R58" s="40"/>
      <c r="T58" s="50" t="s">
        <v>626</v>
      </c>
      <c r="U58" s="40"/>
      <c r="V58" s="48"/>
      <c r="W58" s="40"/>
      <c r="X58" s="50"/>
      <c r="Y58" s="47"/>
      <c r="Z58" s="40"/>
      <c r="AB58" s="50" t="s">
        <v>622</v>
      </c>
      <c r="AC58" s="48"/>
      <c r="AD58" s="40"/>
      <c r="AE58" s="40"/>
      <c r="AF58" s="40"/>
      <c r="AG58" s="47"/>
      <c r="AH58" s="46"/>
      <c r="AI58" s="47"/>
      <c r="AJ58" s="48"/>
      <c r="AK58" s="62"/>
      <c r="AL58" s="61"/>
    </row>
    <row r="59" spans="1:39" s="11" customFormat="1" ht="13.5" customHeight="1">
      <c r="A59" s="230"/>
      <c r="B59" s="22"/>
      <c r="C59" s="22"/>
      <c r="D59" s="40"/>
      <c r="E59" s="21"/>
      <c r="F59" s="21"/>
      <c r="G59" s="171" t="s">
        <v>1422</v>
      </c>
      <c r="H59" s="48"/>
      <c r="I59" s="40"/>
      <c r="J59" s="40"/>
      <c r="K59" s="40"/>
      <c r="L59" s="40"/>
      <c r="M59" s="40"/>
      <c r="N59" s="87" t="s">
        <v>623</v>
      </c>
      <c r="O59" s="48"/>
      <c r="P59" s="40"/>
      <c r="Q59" s="22"/>
      <c r="R59" s="40"/>
      <c r="S59" s="40"/>
      <c r="T59" s="22" t="s">
        <v>673</v>
      </c>
      <c r="U59" s="40"/>
      <c r="V59" s="48"/>
      <c r="W59" s="40"/>
      <c r="X59" s="40"/>
      <c r="Y59" s="40"/>
      <c r="Z59" s="40"/>
      <c r="AA59" s="40"/>
      <c r="AB59" s="22" t="s">
        <v>1062</v>
      </c>
      <c r="AC59" s="48"/>
      <c r="AD59" s="40"/>
      <c r="AE59" s="40"/>
      <c r="AF59" s="40"/>
      <c r="AG59" s="21"/>
      <c r="AH59" s="21"/>
      <c r="AI59" s="21"/>
      <c r="AJ59" s="48"/>
      <c r="AK59" s="58"/>
      <c r="AL59" s="61"/>
    </row>
    <row r="60" spans="1:39" s="11" customFormat="1" ht="13.5" customHeight="1">
      <c r="A60" s="230"/>
      <c r="B60" s="22"/>
      <c r="C60" s="22"/>
      <c r="D60" s="40"/>
      <c r="E60" s="21"/>
      <c r="F60" s="21"/>
      <c r="G60" s="203" t="s">
        <v>626</v>
      </c>
      <c r="H60" s="48"/>
      <c r="I60" s="40"/>
      <c r="J60" s="40"/>
      <c r="K60" s="40"/>
      <c r="L60" s="40"/>
      <c r="M60" s="40"/>
      <c r="N60" s="87" t="s">
        <v>624</v>
      </c>
      <c r="O60" s="48"/>
      <c r="P60" s="40"/>
      <c r="Q60" s="22"/>
      <c r="R60" s="40"/>
      <c r="S60" s="40"/>
      <c r="T60" s="22" t="s">
        <v>674</v>
      </c>
      <c r="U60" s="40"/>
      <c r="V60" s="48"/>
      <c r="W60" s="40"/>
      <c r="X60" s="40"/>
      <c r="Y60" s="40"/>
      <c r="Z60" s="40"/>
      <c r="AA60" s="40"/>
      <c r="AB60" s="22" t="s">
        <v>1063</v>
      </c>
      <c r="AC60" s="48"/>
      <c r="AD60" s="40"/>
      <c r="AE60" s="40"/>
      <c r="AF60" s="40"/>
      <c r="AG60" s="21"/>
      <c r="AH60" s="21"/>
      <c r="AI60" s="21"/>
      <c r="AJ60" s="48"/>
      <c r="AK60" s="58"/>
      <c r="AL60" s="61"/>
    </row>
    <row r="61" spans="1:39" s="11" customFormat="1" ht="13.5" customHeight="1">
      <c r="A61" s="230"/>
      <c r="B61" s="22"/>
      <c r="C61" s="55"/>
      <c r="D61" s="40"/>
      <c r="E61" s="40"/>
      <c r="F61" s="21"/>
      <c r="G61" s="171" t="s">
        <v>1423</v>
      </c>
      <c r="H61" s="48"/>
      <c r="I61" s="40"/>
      <c r="J61" s="40"/>
      <c r="K61" s="40"/>
      <c r="L61" s="40"/>
      <c r="M61" s="40"/>
      <c r="N61" s="87" t="s">
        <v>625</v>
      </c>
      <c r="O61" s="48"/>
      <c r="P61" s="40"/>
      <c r="Q61" s="40"/>
      <c r="R61" s="40"/>
      <c r="S61" s="40"/>
      <c r="T61" s="22" t="s">
        <v>675</v>
      </c>
      <c r="U61" s="40"/>
      <c r="V61" s="48"/>
      <c r="W61" s="40"/>
      <c r="X61" s="40"/>
      <c r="Y61" s="40"/>
      <c r="Z61" s="40"/>
      <c r="AA61" s="40"/>
      <c r="AB61" s="22" t="s">
        <v>1064</v>
      </c>
      <c r="AC61" s="48"/>
      <c r="AD61" s="40"/>
      <c r="AE61" s="40"/>
      <c r="AF61" s="40"/>
      <c r="AG61" s="21"/>
      <c r="AH61" s="21"/>
      <c r="AI61" s="21"/>
      <c r="AJ61" s="48"/>
      <c r="AK61" s="58"/>
      <c r="AL61" s="61"/>
    </row>
    <row r="62" spans="1:39" s="11" customFormat="1" ht="13.5" customHeight="1">
      <c r="A62" s="230"/>
      <c r="B62" s="22"/>
      <c r="C62" s="55"/>
      <c r="D62" s="40"/>
      <c r="E62" s="40"/>
      <c r="F62" s="21"/>
      <c r="G62" s="171" t="s">
        <v>1424</v>
      </c>
      <c r="H62" s="48"/>
      <c r="I62" s="40"/>
      <c r="J62" s="40"/>
      <c r="K62" s="40"/>
      <c r="L62" s="40"/>
      <c r="M62" s="40"/>
      <c r="N62" s="50" t="s">
        <v>626</v>
      </c>
      <c r="O62" s="48"/>
      <c r="P62" s="40"/>
      <c r="Q62" s="40"/>
      <c r="R62" s="40"/>
      <c r="S62" s="40"/>
      <c r="T62" s="22" t="s">
        <v>680</v>
      </c>
      <c r="U62" s="40"/>
      <c r="V62" s="48"/>
      <c r="W62" s="40"/>
      <c r="X62" s="40"/>
      <c r="Y62" s="40"/>
      <c r="Z62" s="40"/>
      <c r="AA62" s="40"/>
      <c r="AB62" s="22" t="s">
        <v>1065</v>
      </c>
      <c r="AC62" s="48"/>
      <c r="AD62" s="40"/>
      <c r="AE62" s="40"/>
      <c r="AF62" s="40"/>
      <c r="AG62" s="21"/>
      <c r="AH62" s="21"/>
      <c r="AI62" s="21"/>
      <c r="AJ62" s="48"/>
      <c r="AK62" s="58"/>
      <c r="AL62" s="61"/>
    </row>
    <row r="63" spans="1:39" s="11" customFormat="1" ht="13.5" customHeight="1">
      <c r="A63" s="230"/>
      <c r="B63" s="22"/>
      <c r="C63" s="55"/>
      <c r="D63" s="40"/>
      <c r="E63" s="40"/>
      <c r="F63" s="21"/>
      <c r="G63" s="171" t="s">
        <v>1425</v>
      </c>
      <c r="H63" s="48"/>
      <c r="I63" s="40"/>
      <c r="J63" s="40"/>
      <c r="K63" s="40"/>
      <c r="L63" s="40"/>
      <c r="M63" s="40"/>
      <c r="N63" s="171" t="s">
        <v>633</v>
      </c>
      <c r="O63" s="48"/>
      <c r="P63" s="40"/>
      <c r="Q63" s="40"/>
      <c r="R63" s="40"/>
      <c r="S63" s="40"/>
      <c r="T63" s="22" t="s">
        <v>681</v>
      </c>
      <c r="U63" s="40"/>
      <c r="V63" s="48"/>
      <c r="W63" s="40"/>
      <c r="X63" s="40"/>
      <c r="Y63" s="40"/>
      <c r="Z63" s="40"/>
      <c r="AA63" s="40"/>
      <c r="AB63" s="22" t="s">
        <v>1061</v>
      </c>
      <c r="AC63" s="48"/>
      <c r="AD63" s="40"/>
      <c r="AE63" s="40"/>
      <c r="AF63" s="40"/>
      <c r="AG63" s="21"/>
      <c r="AH63" s="21"/>
      <c r="AI63" s="21"/>
      <c r="AJ63" s="48"/>
      <c r="AK63" s="58"/>
      <c r="AL63" s="61"/>
    </row>
    <row r="64" spans="1:39" s="11" customFormat="1" ht="13.5" customHeight="1">
      <c r="A64" s="230"/>
      <c r="B64" s="22"/>
      <c r="C64" s="55"/>
      <c r="D64" s="40"/>
      <c r="E64" s="40"/>
      <c r="F64" s="21"/>
      <c r="G64" s="171" t="s">
        <v>1426</v>
      </c>
      <c r="H64" s="48"/>
      <c r="I64" s="40"/>
      <c r="J64" s="40"/>
      <c r="L64" s="40"/>
      <c r="M64" s="40"/>
      <c r="N64" s="171" t="s">
        <v>634</v>
      </c>
      <c r="O64" s="48"/>
      <c r="P64" s="40"/>
      <c r="Q64" s="40"/>
      <c r="R64" s="40"/>
      <c r="S64" s="40"/>
      <c r="T64" s="22" t="s">
        <v>682</v>
      </c>
      <c r="U64" s="40"/>
      <c r="V64" s="48"/>
      <c r="W64" s="40"/>
      <c r="X64" s="50"/>
      <c r="Y64" s="40"/>
      <c r="Z64" s="40"/>
      <c r="AA64" s="40"/>
      <c r="AB64" s="22" t="s">
        <v>1066</v>
      </c>
      <c r="AC64" s="48"/>
      <c r="AD64" s="40"/>
      <c r="AE64" s="40"/>
      <c r="AF64" s="40"/>
      <c r="AG64" s="21"/>
      <c r="AH64" s="21"/>
      <c r="AI64" s="21"/>
      <c r="AJ64" s="48"/>
      <c r="AK64" s="58"/>
      <c r="AL64" s="61"/>
    </row>
    <row r="65" spans="1:41" s="11" customFormat="1" ht="13.5" customHeight="1">
      <c r="A65" s="230"/>
      <c r="B65" s="22"/>
      <c r="C65" s="55"/>
      <c r="D65" s="40"/>
      <c r="E65" s="40"/>
      <c r="F65" s="21"/>
      <c r="G65" s="171" t="s">
        <v>1427</v>
      </c>
      <c r="H65" s="48"/>
      <c r="I65" s="40"/>
      <c r="J65" s="40"/>
      <c r="K65" s="40"/>
      <c r="L65" s="40"/>
      <c r="M65" s="40"/>
      <c r="N65" s="171" t="s">
        <v>635</v>
      </c>
      <c r="O65" s="48"/>
      <c r="P65" s="40"/>
      <c r="Q65" s="40"/>
      <c r="R65" s="40"/>
      <c r="S65" s="40"/>
      <c r="T65" s="22" t="s">
        <v>683</v>
      </c>
      <c r="U65" s="40"/>
      <c r="V65" s="48"/>
      <c r="W65" s="40"/>
      <c r="X65" s="40"/>
      <c r="Y65" s="40"/>
      <c r="Z65" s="40"/>
      <c r="AA65" s="40"/>
      <c r="AB65" s="53" t="s">
        <v>630</v>
      </c>
      <c r="AC65" s="48"/>
      <c r="AD65" s="40"/>
      <c r="AE65" s="40"/>
      <c r="AF65" s="40"/>
      <c r="AG65" s="21"/>
      <c r="AH65" s="21"/>
      <c r="AI65" s="21"/>
      <c r="AJ65" s="48"/>
      <c r="AK65" s="58"/>
      <c r="AL65" s="61"/>
    </row>
    <row r="66" spans="1:41" s="11" customFormat="1" ht="13.5" customHeight="1">
      <c r="A66" s="230"/>
      <c r="B66" s="22"/>
      <c r="C66" s="55"/>
      <c r="D66" s="40"/>
      <c r="E66" s="40"/>
      <c r="F66" s="21"/>
      <c r="G66" s="171" t="s">
        <v>1428</v>
      </c>
      <c r="H66" s="48"/>
      <c r="I66" s="40"/>
      <c r="J66" s="40"/>
      <c r="K66" s="40"/>
      <c r="L66" s="40"/>
      <c r="M66" s="40"/>
      <c r="N66" s="22" t="s">
        <v>636</v>
      </c>
      <c r="O66" s="48"/>
      <c r="P66" s="40"/>
      <c r="Q66" s="40"/>
      <c r="R66" s="40"/>
      <c r="S66" s="40"/>
      <c r="T66" s="22" t="s">
        <v>684</v>
      </c>
      <c r="U66" s="40"/>
      <c r="V66" s="48"/>
      <c r="W66" s="40"/>
      <c r="X66" s="40"/>
      <c r="Y66" s="40"/>
      <c r="Z66" s="40"/>
      <c r="AA66" s="40"/>
      <c r="AB66" s="50" t="s">
        <v>695</v>
      </c>
      <c r="AC66" s="48"/>
      <c r="AD66" s="40"/>
      <c r="AE66" s="40"/>
      <c r="AF66" s="40"/>
      <c r="AG66" s="21"/>
      <c r="AH66" s="21"/>
      <c r="AI66" s="21"/>
      <c r="AJ66" s="48"/>
      <c r="AK66" s="58"/>
      <c r="AL66" s="61"/>
      <c r="AO66" s="50"/>
    </row>
    <row r="67" spans="1:41" s="11" customFormat="1" ht="13.5" customHeight="1">
      <c r="A67" s="230"/>
      <c r="B67" s="22"/>
      <c r="C67" s="55"/>
      <c r="D67" s="40"/>
      <c r="E67" s="40"/>
      <c r="F67" s="203"/>
      <c r="G67" s="171" t="s">
        <v>1429</v>
      </c>
      <c r="H67" s="48"/>
      <c r="I67" s="40"/>
      <c r="J67" s="40"/>
      <c r="K67" s="40"/>
      <c r="L67" s="40"/>
      <c r="M67" s="40"/>
      <c r="N67" s="175" t="s">
        <v>1251</v>
      </c>
      <c r="O67" s="48"/>
      <c r="P67" s="40"/>
      <c r="Q67" s="40"/>
      <c r="R67" s="40"/>
      <c r="S67" s="40"/>
      <c r="T67" s="22" t="s">
        <v>685</v>
      </c>
      <c r="U67" s="40"/>
      <c r="V67" s="48"/>
      <c r="W67" s="40"/>
      <c r="X67" s="40"/>
      <c r="Y67" s="40"/>
      <c r="Z67" s="40"/>
      <c r="AA67" s="40"/>
      <c r="AB67" s="22" t="s">
        <v>694</v>
      </c>
      <c r="AC67" s="48"/>
      <c r="AD67" s="40"/>
      <c r="AE67" s="40"/>
      <c r="AF67" s="40"/>
      <c r="AG67" s="21"/>
      <c r="AH67" s="21"/>
      <c r="AI67" s="21"/>
      <c r="AJ67" s="48"/>
      <c r="AL67" s="61"/>
      <c r="AO67" s="95"/>
    </row>
    <row r="68" spans="1:41" s="11" customFormat="1" ht="13.5" customHeight="1">
      <c r="A68" s="230"/>
      <c r="B68" s="91" t="s">
        <v>909</v>
      </c>
      <c r="C68" s="55"/>
      <c r="D68" s="40"/>
      <c r="E68" s="40"/>
      <c r="F68" s="40"/>
      <c r="G68" s="171" t="s">
        <v>1430</v>
      </c>
      <c r="H68" s="48"/>
      <c r="I68" s="40"/>
      <c r="J68" s="40"/>
      <c r="K68" s="40"/>
      <c r="L68" s="40"/>
      <c r="M68" s="40"/>
      <c r="N68" s="22" t="s">
        <v>637</v>
      </c>
      <c r="O68" s="48"/>
      <c r="P68" s="40"/>
      <c r="Q68" s="40"/>
      <c r="R68" s="40"/>
      <c r="S68" s="40"/>
      <c r="T68" s="22" t="s">
        <v>1082</v>
      </c>
      <c r="U68" s="40"/>
      <c r="V68" s="48"/>
      <c r="W68" s="40"/>
      <c r="X68" s="40"/>
      <c r="Y68" s="40"/>
      <c r="Z68" s="40"/>
      <c r="AA68" s="40"/>
      <c r="AB68" s="50" t="s">
        <v>626</v>
      </c>
      <c r="AC68" s="48"/>
      <c r="AD68" s="40"/>
      <c r="AE68" s="40"/>
      <c r="AF68" s="40"/>
      <c r="AG68" s="21"/>
      <c r="AH68" s="21"/>
      <c r="AI68" s="21"/>
      <c r="AJ68" s="231">
        <f>+SUM(B79:AL79)</f>
        <v>35142</v>
      </c>
      <c r="AK68" s="232"/>
      <c r="AL68" s="23" t="s">
        <v>1</v>
      </c>
    </row>
    <row r="69" spans="1:41" s="11" customFormat="1" ht="13.5" customHeight="1">
      <c r="A69" s="230"/>
      <c r="B69" s="22"/>
      <c r="C69" s="22"/>
      <c r="D69" s="40"/>
      <c r="E69" s="40"/>
      <c r="F69" s="40"/>
      <c r="G69" s="171" t="s">
        <v>1431</v>
      </c>
      <c r="H69" s="48"/>
      <c r="I69" s="40"/>
      <c r="J69" s="40"/>
      <c r="K69" s="40"/>
      <c r="L69" s="40"/>
      <c r="M69" s="40"/>
      <c r="N69" s="22" t="s">
        <v>653</v>
      </c>
      <c r="O69" s="48"/>
      <c r="P69" s="40"/>
      <c r="Q69" s="40"/>
      <c r="R69" s="40"/>
      <c r="S69" s="40"/>
      <c r="T69" s="22" t="s">
        <v>1084</v>
      </c>
      <c r="U69" s="40"/>
      <c r="V69" s="48"/>
      <c r="W69" s="40"/>
      <c r="X69" s="40"/>
      <c r="Y69" s="40"/>
      <c r="Z69" s="40"/>
      <c r="AA69" s="40"/>
      <c r="AB69" s="22" t="s">
        <v>686</v>
      </c>
      <c r="AC69" s="48"/>
      <c r="AD69" s="40"/>
      <c r="AE69" s="40"/>
      <c r="AF69" s="40"/>
      <c r="AG69" s="21"/>
      <c r="AH69" s="21"/>
      <c r="AI69" s="21"/>
      <c r="AJ69" s="48"/>
      <c r="AK69" s="58"/>
      <c r="AL69" s="61"/>
    </row>
    <row r="70" spans="1:41" s="11" customFormat="1" ht="13.5" customHeight="1">
      <c r="A70" s="230"/>
      <c r="B70" s="22"/>
      <c r="C70" s="22"/>
      <c r="D70" s="40"/>
      <c r="E70" s="40"/>
      <c r="F70" s="40"/>
      <c r="G70" s="171" t="s">
        <v>1432</v>
      </c>
      <c r="H70" s="48"/>
      <c r="I70" s="40"/>
      <c r="J70" s="40"/>
      <c r="K70" s="40"/>
      <c r="L70" s="40"/>
      <c r="M70" s="40"/>
      <c r="N70" s="22" t="s">
        <v>654</v>
      </c>
      <c r="O70" s="48"/>
      <c r="P70" s="40"/>
      <c r="Q70" s="40"/>
      <c r="R70" s="40"/>
      <c r="S70" s="40"/>
      <c r="T70" s="22" t="s">
        <v>1085</v>
      </c>
      <c r="U70" s="40"/>
      <c r="V70" s="48"/>
      <c r="W70" s="40"/>
      <c r="X70" s="40"/>
      <c r="Y70" s="40"/>
      <c r="Z70" s="40"/>
      <c r="AA70" s="40"/>
      <c r="AB70" s="22" t="s">
        <v>688</v>
      </c>
      <c r="AC70" s="48"/>
      <c r="AD70" s="40"/>
      <c r="AE70" s="40"/>
      <c r="AF70" s="40"/>
      <c r="AG70" s="40"/>
      <c r="AH70" s="21"/>
      <c r="AI70" s="21"/>
      <c r="AJ70" s="48"/>
      <c r="AK70" s="58"/>
      <c r="AL70" s="61"/>
    </row>
    <row r="71" spans="1:41" s="11" customFormat="1" ht="13.5" customHeight="1">
      <c r="A71" s="230"/>
      <c r="B71" s="22"/>
      <c r="C71" s="22"/>
      <c r="D71" s="40"/>
      <c r="E71" s="40"/>
      <c r="F71" s="40"/>
      <c r="G71" s="203" t="s">
        <v>622</v>
      </c>
      <c r="H71" s="48"/>
      <c r="I71" s="40"/>
      <c r="J71" s="40"/>
      <c r="K71" s="40"/>
      <c r="L71" s="40"/>
      <c r="M71" s="40"/>
      <c r="N71" s="22" t="s">
        <v>660</v>
      </c>
      <c r="O71" s="48"/>
      <c r="P71" s="40"/>
      <c r="Q71" s="40"/>
      <c r="R71" s="40"/>
      <c r="S71" s="40"/>
      <c r="T71" s="22" t="s">
        <v>1086</v>
      </c>
      <c r="U71" s="40"/>
      <c r="V71" s="48"/>
      <c r="W71" s="40"/>
      <c r="X71" s="40"/>
      <c r="Y71" s="40"/>
      <c r="Z71" s="40"/>
      <c r="AA71" s="40"/>
      <c r="AB71" s="22" t="s">
        <v>1080</v>
      </c>
      <c r="AC71" s="48"/>
      <c r="AD71" s="40"/>
      <c r="AE71" s="40"/>
      <c r="AF71" s="40"/>
      <c r="AG71" s="40"/>
      <c r="AH71" s="21"/>
      <c r="AI71" s="21"/>
      <c r="AJ71" s="48"/>
      <c r="AK71" s="58"/>
      <c r="AL71" s="61"/>
    </row>
    <row r="72" spans="1:41" s="11" customFormat="1" ht="13.5" customHeight="1">
      <c r="A72" s="230"/>
      <c r="B72" s="22"/>
      <c r="C72" s="22"/>
      <c r="D72" s="40"/>
      <c r="E72" s="40"/>
      <c r="F72" s="40"/>
      <c r="G72" s="171" t="s">
        <v>1433</v>
      </c>
      <c r="H72" s="48"/>
      <c r="I72" s="40"/>
      <c r="J72" s="40"/>
      <c r="K72" s="40"/>
      <c r="L72" s="40"/>
      <c r="M72" s="40"/>
      <c r="N72" s="22" t="s">
        <v>661</v>
      </c>
      <c r="O72" s="48"/>
      <c r="P72" s="40"/>
      <c r="Q72" s="40"/>
      <c r="R72" s="40"/>
      <c r="S72" s="40"/>
      <c r="T72" s="22" t="s">
        <v>1087</v>
      </c>
      <c r="U72" s="40"/>
      <c r="V72" s="48"/>
      <c r="W72" s="40"/>
      <c r="X72" s="40"/>
      <c r="Y72" s="40"/>
      <c r="Z72" s="40"/>
      <c r="AA72" s="40"/>
      <c r="AB72" s="50" t="s">
        <v>1122</v>
      </c>
      <c r="AC72" s="48"/>
      <c r="AD72" s="40"/>
      <c r="AE72" s="40"/>
      <c r="AF72" s="40"/>
      <c r="AG72" s="40"/>
      <c r="AH72" s="22"/>
      <c r="AI72" s="21"/>
      <c r="AJ72" s="48"/>
      <c r="AK72" s="58"/>
      <c r="AL72" s="61"/>
    </row>
    <row r="73" spans="1:41" s="11" customFormat="1" ht="13.5" customHeight="1">
      <c r="A73" s="230"/>
      <c r="B73" s="22"/>
      <c r="C73" s="22"/>
      <c r="D73" s="40"/>
      <c r="E73" s="40"/>
      <c r="F73" s="40"/>
      <c r="G73" s="171" t="s">
        <v>1434</v>
      </c>
      <c r="H73" s="48"/>
      <c r="I73" s="40"/>
      <c r="J73" s="40"/>
      <c r="K73" s="40"/>
      <c r="L73" s="40"/>
      <c r="M73" s="40"/>
      <c r="N73" s="22" t="s">
        <v>651</v>
      </c>
      <c r="O73" s="48"/>
      <c r="P73" s="50"/>
      <c r="Q73" s="40"/>
      <c r="R73" s="40"/>
      <c r="S73" s="40"/>
      <c r="T73" s="22" t="s">
        <v>1083</v>
      </c>
      <c r="U73" s="40"/>
      <c r="V73" s="48"/>
      <c r="W73" s="40"/>
      <c r="X73" s="40"/>
      <c r="Y73" s="40"/>
      <c r="Z73" s="40"/>
      <c r="AA73" s="40"/>
      <c r="AB73" s="22" t="s">
        <v>1123</v>
      </c>
      <c r="AC73" s="48"/>
      <c r="AD73" s="40"/>
      <c r="AE73" s="40"/>
      <c r="AF73" s="40"/>
      <c r="AG73" s="40"/>
      <c r="AH73" s="22"/>
      <c r="AI73" s="21"/>
      <c r="AJ73" s="48"/>
      <c r="AL73" s="61"/>
    </row>
    <row r="74" spans="1:41" s="11" customFormat="1" ht="13.5" customHeight="1">
      <c r="A74" s="230"/>
      <c r="C74" s="22"/>
      <c r="D74" s="40"/>
      <c r="E74" s="40"/>
      <c r="F74" s="40"/>
      <c r="G74" s="171" t="s">
        <v>1435</v>
      </c>
      <c r="H74" s="48"/>
      <c r="I74" s="40"/>
      <c r="J74" s="40"/>
      <c r="K74" s="40"/>
      <c r="L74" s="40"/>
      <c r="M74" s="40"/>
      <c r="N74" s="22" t="s">
        <v>657</v>
      </c>
      <c r="O74" s="48"/>
      <c r="P74" s="40"/>
      <c r="Q74" s="40"/>
      <c r="R74" s="40"/>
      <c r="S74" s="40"/>
      <c r="T74" s="22" t="s">
        <v>1078</v>
      </c>
      <c r="U74" s="40"/>
      <c r="V74" s="48"/>
      <c r="W74" s="40"/>
      <c r="X74" s="40"/>
      <c r="Y74" s="40"/>
      <c r="Z74" s="40"/>
      <c r="AA74" s="40"/>
      <c r="AB74" s="22" t="s">
        <v>1124</v>
      </c>
      <c r="AC74" s="48"/>
      <c r="AD74" s="40"/>
      <c r="AE74" s="40"/>
      <c r="AF74" s="40"/>
      <c r="AI74" s="21"/>
      <c r="AJ74" s="48"/>
      <c r="AK74" s="58"/>
      <c r="AL74" s="61"/>
      <c r="AN74" s="50"/>
    </row>
    <row r="75" spans="1:41" s="11" customFormat="1" ht="13.5" customHeight="1">
      <c r="A75" s="230"/>
      <c r="B75" s="91"/>
      <c r="C75" s="22"/>
      <c r="D75" s="40"/>
      <c r="E75" s="40"/>
      <c r="F75" s="40"/>
      <c r="G75" s="171" t="s">
        <v>1436</v>
      </c>
      <c r="H75" s="48"/>
      <c r="I75" s="40"/>
      <c r="J75" s="40"/>
      <c r="K75" s="40"/>
      <c r="L75" s="40"/>
      <c r="M75" s="40"/>
      <c r="N75" s="22" t="s">
        <v>658</v>
      </c>
      <c r="O75" s="48"/>
      <c r="P75" s="40"/>
      <c r="Q75" s="40"/>
      <c r="R75" s="40"/>
      <c r="S75" s="40"/>
      <c r="T75" s="22" t="s">
        <v>1079</v>
      </c>
      <c r="U75" s="40"/>
      <c r="V75" s="48"/>
      <c r="W75" s="40"/>
      <c r="X75" s="40"/>
      <c r="Y75" s="40"/>
      <c r="Z75" s="40"/>
      <c r="AA75" s="40"/>
      <c r="AB75" s="22" t="s">
        <v>1126</v>
      </c>
      <c r="AC75" s="48"/>
      <c r="AD75" s="40"/>
      <c r="AE75" s="40"/>
      <c r="AF75" s="40"/>
      <c r="AG75" s="40"/>
      <c r="AH75" s="22"/>
      <c r="AI75" s="21"/>
      <c r="AJ75" s="48"/>
      <c r="AK75" s="156"/>
      <c r="AL75" s="61"/>
    </row>
    <row r="76" spans="1:41" s="11" customFormat="1" ht="13.5" customHeight="1">
      <c r="A76" s="230"/>
      <c r="B76" s="91"/>
      <c r="C76" s="22"/>
      <c r="D76" s="40"/>
      <c r="E76" s="40"/>
      <c r="F76" s="40"/>
      <c r="G76" s="171" t="s">
        <v>1437</v>
      </c>
      <c r="H76" s="48"/>
      <c r="I76" s="40"/>
      <c r="J76" s="40"/>
      <c r="K76" s="40"/>
      <c r="L76" s="40"/>
      <c r="M76" s="40"/>
      <c r="N76" s="22" t="s">
        <v>659</v>
      </c>
      <c r="O76" s="48"/>
      <c r="P76" s="40"/>
      <c r="Q76" s="22"/>
      <c r="R76" s="40"/>
      <c r="S76" s="40"/>
      <c r="T76" s="175" t="s">
        <v>1081</v>
      </c>
      <c r="U76" s="40"/>
      <c r="V76" s="48"/>
      <c r="W76" s="40"/>
      <c r="X76" s="40"/>
      <c r="Y76" s="40"/>
      <c r="Z76" s="40"/>
      <c r="AA76" s="40"/>
      <c r="AB76" s="40"/>
      <c r="AC76" s="48"/>
      <c r="AD76" s="40"/>
      <c r="AE76" s="40"/>
      <c r="AF76" s="40"/>
      <c r="AG76" s="40"/>
      <c r="AH76" s="91"/>
      <c r="AI76" s="40"/>
      <c r="AJ76" s="48"/>
      <c r="AK76" s="156"/>
      <c r="AL76" s="61"/>
    </row>
    <row r="77" spans="1:41" s="11" customFormat="1" ht="13.5" customHeight="1">
      <c r="A77" s="230"/>
      <c r="B77" s="91"/>
      <c r="C77" s="22"/>
      <c r="D77" s="40"/>
      <c r="E77" s="40"/>
      <c r="F77" s="40"/>
      <c r="G77" s="203" t="s">
        <v>695</v>
      </c>
      <c r="H77" s="48"/>
      <c r="I77" s="40"/>
      <c r="J77" s="40"/>
      <c r="K77" s="40"/>
      <c r="L77" s="40"/>
      <c r="M77" s="40"/>
      <c r="N77" s="40"/>
      <c r="O77" s="48"/>
      <c r="P77" s="40"/>
      <c r="Q77" s="22"/>
      <c r="R77" s="40"/>
      <c r="S77" s="40"/>
      <c r="T77" s="175"/>
      <c r="U77" s="40"/>
      <c r="V77" s="48"/>
      <c r="W77" s="40"/>
      <c r="X77" s="40"/>
      <c r="Y77" s="40"/>
      <c r="Z77" s="40"/>
      <c r="AA77" s="40"/>
      <c r="AB77" s="40"/>
      <c r="AC77" s="48"/>
      <c r="AD77" s="40"/>
      <c r="AE77" s="40"/>
      <c r="AF77" s="40"/>
      <c r="AG77" s="40"/>
      <c r="AH77" s="91"/>
      <c r="AJ77" s="48"/>
      <c r="AK77" s="156"/>
      <c r="AL77" s="61"/>
    </row>
    <row r="78" spans="1:41" s="11" customFormat="1" ht="13.5" customHeight="1">
      <c r="A78" s="230"/>
      <c r="B78" s="91"/>
      <c r="C78" s="22"/>
      <c r="D78" s="40"/>
      <c r="E78" s="40"/>
      <c r="F78" s="40"/>
      <c r="G78" s="171" t="s">
        <v>1438</v>
      </c>
      <c r="H78" s="48"/>
      <c r="I78" s="40"/>
      <c r="J78" s="40"/>
      <c r="K78" s="40"/>
      <c r="L78" s="40"/>
      <c r="M78" s="40"/>
      <c r="N78" s="40"/>
      <c r="O78" s="48"/>
      <c r="P78" s="40"/>
      <c r="Q78" s="40"/>
      <c r="R78" s="40"/>
      <c r="S78" s="40"/>
      <c r="T78" s="175"/>
      <c r="U78" s="40"/>
      <c r="V78" s="48"/>
      <c r="W78" s="40"/>
      <c r="X78" s="40"/>
      <c r="Y78" s="40"/>
      <c r="Z78" s="40"/>
      <c r="AA78" s="40"/>
      <c r="AB78" s="40"/>
      <c r="AC78" s="48"/>
      <c r="AD78" s="40"/>
      <c r="AE78" s="40"/>
      <c r="AF78" s="40"/>
      <c r="AG78" s="40"/>
      <c r="AH78" s="97" t="s">
        <v>1259</v>
      </c>
      <c r="AI78" s="40"/>
      <c r="AJ78" s="48"/>
      <c r="AK78" s="156"/>
      <c r="AL78" s="61"/>
      <c r="AN78" s="40"/>
    </row>
    <row r="79" spans="1:41" s="11" customFormat="1" ht="17.25" customHeight="1">
      <c r="A79" s="230"/>
      <c r="B79" s="24"/>
      <c r="C79" s="56"/>
      <c r="D79" s="24"/>
      <c r="E79" s="56"/>
      <c r="F79" s="24"/>
      <c r="G79" s="233">
        <f>830+300+300+712+300+712+561+390+300+300+890+547+301+305+301+347+432+300</f>
        <v>8128</v>
      </c>
      <c r="H79" s="234"/>
      <c r="I79" s="24"/>
      <c r="J79" s="24"/>
      <c r="K79" s="24"/>
      <c r="L79" s="24"/>
      <c r="M79" s="24"/>
      <c r="N79" s="233">
        <f>415+356+460+16+275+714+335+585+1896+890+100+137+156+100+151+321</f>
        <v>6907</v>
      </c>
      <c r="O79" s="234"/>
      <c r="P79" s="56"/>
      <c r="Q79" s="24"/>
      <c r="R79" s="56"/>
      <c r="S79" s="24"/>
      <c r="T79" s="185">
        <f>600+995+760+607+389+269+164+381+202+400+400+542+524+583+400+625+165</f>
        <v>8006</v>
      </c>
      <c r="U79" s="56"/>
      <c r="V79" s="56"/>
      <c r="W79" s="24"/>
      <c r="X79" s="24"/>
      <c r="Y79" s="24"/>
      <c r="Z79" s="24"/>
      <c r="AA79" s="24"/>
      <c r="AB79" s="233">
        <f>160+150+546+749+383+119+181+300+303+330+320+1500+3530+3530</f>
        <v>12101</v>
      </c>
      <c r="AC79" s="234"/>
      <c r="AD79" s="24"/>
      <c r="AE79" s="24"/>
      <c r="AF79" s="24"/>
      <c r="AG79" s="24"/>
      <c r="AH79" s="24"/>
      <c r="AI79" s="56"/>
      <c r="AJ79" s="24"/>
      <c r="AK79" s="24"/>
      <c r="AL79" s="64"/>
    </row>
    <row r="80" spans="1:41" s="11" customFormat="1" ht="2.25" customHeight="1">
      <c r="A80" s="26"/>
      <c r="B80" s="27"/>
      <c r="C80" s="27"/>
      <c r="D80" s="27"/>
      <c r="E80" s="28"/>
      <c r="F80" s="27"/>
      <c r="G80" s="27"/>
      <c r="H80" s="27"/>
      <c r="I80" s="27"/>
      <c r="J80" s="44"/>
      <c r="K80" s="44"/>
      <c r="L80" s="44"/>
      <c r="M80" s="44"/>
      <c r="N80" s="44"/>
      <c r="O80" s="27"/>
      <c r="P80" s="27"/>
      <c r="Q80" s="44"/>
      <c r="R80" s="44"/>
      <c r="S80" s="44"/>
      <c r="T80" s="44"/>
      <c r="U80" s="44"/>
      <c r="V80" s="27"/>
      <c r="W80" s="27"/>
      <c r="X80" s="44"/>
      <c r="Y80" s="44"/>
      <c r="Z80" s="44"/>
      <c r="AA80" s="44"/>
      <c r="AB80" s="44"/>
      <c r="AC80" s="27"/>
      <c r="AD80" s="27"/>
      <c r="AE80" s="44"/>
      <c r="AF80" s="44"/>
      <c r="AG80" s="44"/>
      <c r="AH80" s="44"/>
      <c r="AI80" s="44"/>
      <c r="AJ80" s="30"/>
      <c r="AK80" s="44"/>
      <c r="AL80" s="30"/>
    </row>
    <row r="81" spans="1:38" s="57" customFormat="1" ht="32.25" customHeight="1">
      <c r="A81" s="236" t="s">
        <v>2</v>
      </c>
      <c r="B81" s="38" t="s">
        <v>3</v>
      </c>
      <c r="C81" s="32"/>
      <c r="D81" s="31"/>
      <c r="E81" s="31"/>
      <c r="F81" s="32"/>
      <c r="G81" s="32"/>
      <c r="H81" s="32"/>
      <c r="I81" s="238" t="s">
        <v>4</v>
      </c>
      <c r="J81" s="32"/>
      <c r="K81" s="32"/>
      <c r="L81" s="32"/>
      <c r="M81" s="32"/>
      <c r="N81" s="32"/>
      <c r="O81" s="32"/>
      <c r="P81" s="238" t="s">
        <v>5</v>
      </c>
      <c r="Q81" s="32"/>
      <c r="R81" s="32"/>
      <c r="S81" s="32"/>
      <c r="T81" s="32"/>
      <c r="U81" s="32"/>
      <c r="V81" s="32"/>
      <c r="W81" s="238" t="s">
        <v>6</v>
      </c>
      <c r="X81" s="32"/>
      <c r="Y81" s="32"/>
      <c r="Z81" s="32"/>
      <c r="AA81" s="32"/>
      <c r="AB81" s="32"/>
      <c r="AC81" s="32"/>
      <c r="AD81" s="238" t="s">
        <v>46</v>
      </c>
      <c r="AE81" s="32"/>
      <c r="AF81" s="32"/>
      <c r="AG81" s="32"/>
      <c r="AH81" s="32"/>
      <c r="AI81" s="32"/>
      <c r="AJ81" s="32"/>
      <c r="AK81" s="32"/>
      <c r="AL81" s="33"/>
    </row>
    <row r="82" spans="1:38" s="57" customFormat="1" ht="32.25" customHeight="1" thickBot="1">
      <c r="A82" s="237"/>
      <c r="B82" s="39" t="s">
        <v>7</v>
      </c>
      <c r="C82" s="35"/>
      <c r="D82" s="34"/>
      <c r="E82" s="34"/>
      <c r="F82" s="35"/>
      <c r="G82" s="35"/>
      <c r="H82" s="35"/>
      <c r="I82" s="239"/>
      <c r="J82" s="35"/>
      <c r="K82" s="35"/>
      <c r="L82" s="35"/>
      <c r="M82" s="35"/>
      <c r="N82" s="35"/>
      <c r="O82" s="35"/>
      <c r="P82" s="239"/>
      <c r="Q82" s="35"/>
      <c r="R82" s="35"/>
      <c r="S82" s="35"/>
      <c r="T82" s="35"/>
      <c r="U82" s="35"/>
      <c r="V82" s="35"/>
      <c r="W82" s="239"/>
      <c r="X82" s="35"/>
      <c r="Y82" s="35"/>
      <c r="Z82" s="35"/>
      <c r="AA82" s="35"/>
      <c r="AB82" s="35"/>
      <c r="AC82" s="35"/>
      <c r="AD82" s="239"/>
      <c r="AE82" s="35"/>
      <c r="AF82" s="35"/>
      <c r="AG82" s="35"/>
      <c r="AH82" s="35"/>
      <c r="AI82" s="35"/>
      <c r="AJ82" s="35"/>
      <c r="AK82" s="35"/>
      <c r="AL82" s="36"/>
    </row>
  </sheetData>
  <mergeCells count="20">
    <mergeCell ref="A9:A29"/>
    <mergeCell ref="AJ15:AK15"/>
    <mergeCell ref="M29:N29"/>
    <mergeCell ref="AG29:AH29"/>
    <mergeCell ref="A35:A52"/>
    <mergeCell ref="AJ42:AK42"/>
    <mergeCell ref="G29:H29"/>
    <mergeCell ref="I52:J52"/>
    <mergeCell ref="Q52:R52"/>
    <mergeCell ref="AH52:AI52"/>
    <mergeCell ref="A58:A79"/>
    <mergeCell ref="AJ68:AK68"/>
    <mergeCell ref="N79:O79"/>
    <mergeCell ref="AB79:AC79"/>
    <mergeCell ref="A81:A82"/>
    <mergeCell ref="I81:I82"/>
    <mergeCell ref="P81:P82"/>
    <mergeCell ref="W81:W82"/>
    <mergeCell ref="AD81:AD82"/>
    <mergeCell ref="G79:H79"/>
  </mergeCells>
  <phoneticPr fontId="48" type="noConversion"/>
  <printOptions horizontalCentered="1"/>
  <pageMargins left="0" right="0" top="0" bottom="0" header="0" footer="0"/>
  <pageSetup paperSize="9" scale="4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810B-21B5-4FAD-AF6D-A8D83EA1C2C9}">
  <dimension ref="B1:P34"/>
  <sheetViews>
    <sheetView tabSelected="1" zoomScale="80" zoomScaleNormal="80" workbookViewId="0">
      <selection activeCell="J11" sqref="J11"/>
    </sheetView>
  </sheetViews>
  <sheetFormatPr defaultRowHeight="14.5"/>
  <cols>
    <col min="1" max="1" width="5.5" bestFit="1" customWidth="1"/>
    <col min="2" max="2" width="9.69921875" bestFit="1" customWidth="1"/>
    <col min="7" max="7" width="15.69921875" bestFit="1" customWidth="1"/>
    <col min="10" max="10" width="62.69921875" customWidth="1"/>
    <col min="11" max="11" width="11.3984375" bestFit="1" customWidth="1"/>
    <col min="12" max="12" width="10.69921875" bestFit="1" customWidth="1"/>
    <col min="13" max="14" width="10.69921875" customWidth="1"/>
    <col min="15" max="15" width="15.69921875" bestFit="1" customWidth="1"/>
    <col min="16" max="16" width="13.19921875" bestFit="1" customWidth="1"/>
  </cols>
  <sheetData>
    <row r="1" spans="2:16" ht="15">
      <c r="P1" s="259" t="s">
        <v>1663</v>
      </c>
    </row>
    <row r="2" spans="2:16" ht="15">
      <c r="B2" s="258" t="s">
        <v>1656</v>
      </c>
      <c r="C2" s="259" t="s">
        <v>1657</v>
      </c>
      <c r="D2" t="s">
        <v>1658</v>
      </c>
      <c r="E2" s="258" t="s">
        <v>1653</v>
      </c>
      <c r="F2" s="258" t="s">
        <v>1659</v>
      </c>
      <c r="G2" s="258" t="s">
        <v>1661</v>
      </c>
      <c r="L2" s="258" t="s">
        <v>1651</v>
      </c>
      <c r="M2" s="258" t="s">
        <v>1653</v>
      </c>
      <c r="N2" s="258" t="s">
        <v>1654</v>
      </c>
      <c r="O2" s="258" t="s">
        <v>1662</v>
      </c>
      <c r="P2" s="258" t="s">
        <v>1655</v>
      </c>
    </row>
    <row r="3" spans="2:16" ht="17.5">
      <c r="B3" s="13">
        <v>5</v>
      </c>
      <c r="C3" s="13">
        <v>30</v>
      </c>
      <c r="D3" s="16">
        <v>1080</v>
      </c>
      <c r="E3">
        <v>135</v>
      </c>
      <c r="F3" s="122">
        <v>8</v>
      </c>
      <c r="G3">
        <f>F3</f>
        <v>8</v>
      </c>
      <c r="J3" s="52" t="s">
        <v>190</v>
      </c>
      <c r="K3" s="52" t="s">
        <v>1660</v>
      </c>
      <c r="L3" s="52"/>
      <c r="M3" s="52"/>
      <c r="N3" s="52"/>
      <c r="O3" s="52"/>
      <c r="P3" s="48"/>
    </row>
    <row r="4" spans="2:16" ht="18.5">
      <c r="B4" s="13">
        <v>5</v>
      </c>
      <c r="C4" s="13">
        <v>31</v>
      </c>
      <c r="D4" s="25"/>
      <c r="F4" s="25"/>
      <c r="G4">
        <f>F4+G3</f>
        <v>8</v>
      </c>
      <c r="J4" s="171" t="s">
        <v>1420</v>
      </c>
      <c r="K4" s="171" t="str">
        <f>MID(J4,7,6)</f>
        <v>KJ8322</v>
      </c>
      <c r="L4" t="str">
        <f>MID(J4,FIND("--",J4)+2,FIND("(",J4)-FIND("--",J4)-2)</f>
        <v>900</v>
      </c>
      <c r="M4">
        <v>135</v>
      </c>
      <c r="N4">
        <f>L4/M4</f>
        <v>6.666666666666667</v>
      </c>
      <c r="O4">
        <f>N4</f>
        <v>6.666666666666667</v>
      </c>
      <c r="P4" s="48" t="s">
        <v>1652</v>
      </c>
    </row>
    <row r="5" spans="2:16" ht="18.5">
      <c r="B5" s="13">
        <v>6</v>
      </c>
      <c r="C5" s="59">
        <v>1</v>
      </c>
      <c r="D5" s="68">
        <v>970</v>
      </c>
      <c r="E5">
        <v>135</v>
      </c>
      <c r="F5" s="192">
        <v>11</v>
      </c>
      <c r="G5">
        <f t="shared" ref="G5:G33" si="0">F5+G4</f>
        <v>19</v>
      </c>
      <c r="J5" s="171" t="s">
        <v>1419</v>
      </c>
      <c r="K5" s="171" t="str">
        <f t="shared" ref="K5:K26" si="1">MID(J5,7,6)</f>
        <v>KJ5260</v>
      </c>
      <c r="L5" t="str">
        <f>MID(J5,FIND("--",J5)+2,FIND("(",J5)-FIND("--",J5)-2)</f>
        <v>627</v>
      </c>
      <c r="M5">
        <v>135</v>
      </c>
      <c r="N5">
        <f t="shared" ref="N5:N26" si="2">L5/M5</f>
        <v>4.6444444444444448</v>
      </c>
      <c r="O5">
        <f>O4+N5</f>
        <v>11.311111111111112</v>
      </c>
      <c r="P5" s="48" t="s">
        <v>1664</v>
      </c>
    </row>
    <row r="6" spans="2:16" ht="18.5">
      <c r="B6" s="13">
        <v>6</v>
      </c>
      <c r="C6" s="13">
        <v>2</v>
      </c>
      <c r="D6" s="16">
        <v>1490</v>
      </c>
      <c r="F6" s="192">
        <v>11</v>
      </c>
      <c r="G6">
        <f t="shared" si="0"/>
        <v>30</v>
      </c>
      <c r="J6" s="171" t="s">
        <v>1418</v>
      </c>
      <c r="K6" s="171" t="str">
        <f t="shared" si="1"/>
        <v>LA7413</v>
      </c>
      <c r="L6" t="str">
        <f>MID(J6,FIND("--",J6)+2,FIND("(",J6)-FIND("--",J6)-2)</f>
        <v>300</v>
      </c>
      <c r="M6">
        <v>135</v>
      </c>
      <c r="N6">
        <f t="shared" si="2"/>
        <v>2.2222222222222223</v>
      </c>
      <c r="O6">
        <f t="shared" ref="O6:O26" si="3">O5+N6</f>
        <v>13.533333333333335</v>
      </c>
      <c r="P6" s="48" t="s">
        <v>1664</v>
      </c>
    </row>
    <row r="7" spans="2:16" ht="18.5">
      <c r="B7" s="13">
        <v>6</v>
      </c>
      <c r="C7" s="43">
        <v>3</v>
      </c>
      <c r="D7" s="16">
        <v>1490</v>
      </c>
      <c r="F7" s="192">
        <v>11</v>
      </c>
      <c r="G7">
        <f t="shared" si="0"/>
        <v>41</v>
      </c>
      <c r="J7" s="171" t="s">
        <v>1417</v>
      </c>
      <c r="K7" s="171" t="str">
        <f t="shared" si="1"/>
        <v>LA7413</v>
      </c>
      <c r="L7" t="str">
        <f>MID(J7,FIND("--",J7)+2,FIND("(",J7)-FIND("--",J7)-2)</f>
        <v>300</v>
      </c>
      <c r="M7">
        <v>135</v>
      </c>
      <c r="N7">
        <f t="shared" si="2"/>
        <v>2.2222222222222223</v>
      </c>
      <c r="O7">
        <f t="shared" si="3"/>
        <v>15.755555555555556</v>
      </c>
      <c r="P7" s="48" t="s">
        <v>1664</v>
      </c>
    </row>
    <row r="8" spans="2:16" ht="18.5">
      <c r="B8" s="13">
        <v>6</v>
      </c>
      <c r="C8" s="43">
        <v>4</v>
      </c>
      <c r="D8" s="16">
        <v>1490</v>
      </c>
      <c r="F8" s="192">
        <v>11</v>
      </c>
      <c r="G8">
        <f t="shared" si="0"/>
        <v>52</v>
      </c>
      <c r="J8" s="171" t="s">
        <v>1416</v>
      </c>
      <c r="K8" s="171" t="str">
        <f t="shared" si="1"/>
        <v>LA7413</v>
      </c>
      <c r="L8" t="str">
        <f>MID(J8,FIND("--",J8)+2,FIND("(",J8)-FIND("--",J8)-2)</f>
        <v>300</v>
      </c>
      <c r="M8">
        <v>135</v>
      </c>
      <c r="N8">
        <f t="shared" si="2"/>
        <v>2.2222222222222223</v>
      </c>
      <c r="O8">
        <f t="shared" si="3"/>
        <v>17.977777777777778</v>
      </c>
      <c r="P8" s="48" t="s">
        <v>1664</v>
      </c>
    </row>
    <row r="9" spans="2:16" ht="18.5">
      <c r="B9" s="13">
        <v>6</v>
      </c>
      <c r="C9" s="43">
        <v>5</v>
      </c>
      <c r="D9" s="68">
        <v>1340</v>
      </c>
      <c r="E9">
        <v>135</v>
      </c>
      <c r="F9" s="192">
        <v>8</v>
      </c>
      <c r="G9">
        <f t="shared" si="0"/>
        <v>60</v>
      </c>
      <c r="J9" s="171" t="s">
        <v>1415</v>
      </c>
      <c r="K9" s="171" t="str">
        <f t="shared" si="1"/>
        <v>LA7414</v>
      </c>
      <c r="L9" t="str">
        <f>MID(J9,FIND("--",J9)+2,FIND("(",J9)-FIND("--",J9)-2)</f>
        <v>300</v>
      </c>
      <c r="M9">
        <v>135</v>
      </c>
      <c r="N9">
        <f t="shared" si="2"/>
        <v>2.2222222222222223</v>
      </c>
      <c r="O9">
        <f t="shared" si="3"/>
        <v>20.2</v>
      </c>
      <c r="P9" s="48" t="s">
        <v>1665</v>
      </c>
    </row>
    <row r="10" spans="2:16" ht="17.5">
      <c r="B10" s="13">
        <v>6</v>
      </c>
      <c r="C10" s="13">
        <v>6</v>
      </c>
      <c r="D10" s="16">
        <v>1080</v>
      </c>
      <c r="F10" s="192">
        <v>8</v>
      </c>
      <c r="G10">
        <f t="shared" si="0"/>
        <v>68</v>
      </c>
      <c r="J10" s="171" t="s">
        <v>1414</v>
      </c>
      <c r="K10" s="171" t="str">
        <f t="shared" si="1"/>
        <v>LA7414</v>
      </c>
      <c r="L10" t="str">
        <f>MID(J10,FIND("--",J10)+2,FIND("(",J10)-FIND("--",J10)-2)</f>
        <v>300</v>
      </c>
      <c r="M10">
        <v>135</v>
      </c>
      <c r="N10">
        <f t="shared" si="2"/>
        <v>2.2222222222222223</v>
      </c>
      <c r="O10">
        <f t="shared" si="3"/>
        <v>22.422222222222221</v>
      </c>
      <c r="P10" s="48"/>
    </row>
    <row r="11" spans="2:16" ht="17.5">
      <c r="B11" s="13">
        <v>6</v>
      </c>
      <c r="C11" s="43">
        <v>7</v>
      </c>
      <c r="D11" s="25"/>
      <c r="F11" s="25"/>
      <c r="G11">
        <f t="shared" si="0"/>
        <v>68</v>
      </c>
      <c r="J11" s="171" t="s">
        <v>1413</v>
      </c>
      <c r="K11" s="171" t="str">
        <f t="shared" si="1"/>
        <v>LA7414</v>
      </c>
      <c r="L11" t="str">
        <f>MID(J11,FIND("--",J11)+2,FIND("(",J11)-FIND("--",J11)-2)</f>
        <v>300</v>
      </c>
      <c r="M11">
        <v>135</v>
      </c>
      <c r="N11">
        <f t="shared" si="2"/>
        <v>2.2222222222222223</v>
      </c>
      <c r="O11">
        <f t="shared" si="3"/>
        <v>24.644444444444442</v>
      </c>
      <c r="P11" s="48"/>
    </row>
    <row r="12" spans="2:16" ht="17.5">
      <c r="B12" s="13">
        <v>6</v>
      </c>
      <c r="C12" s="43">
        <v>8</v>
      </c>
      <c r="D12" s="16">
        <v>1080</v>
      </c>
      <c r="F12" s="18">
        <v>9.5</v>
      </c>
      <c r="G12">
        <f t="shared" si="0"/>
        <v>77.5</v>
      </c>
      <c r="J12" s="171" t="s">
        <v>1412</v>
      </c>
      <c r="K12" s="171" t="str">
        <f t="shared" si="1"/>
        <v>KH9680</v>
      </c>
      <c r="L12" t="str">
        <f>MID(J12,FIND("--",J12)+2,FIND("(",J12)-FIND("--",J12)-2)</f>
        <v>873</v>
      </c>
      <c r="M12">
        <v>135</v>
      </c>
      <c r="N12">
        <f t="shared" si="2"/>
        <v>6.4666666666666668</v>
      </c>
      <c r="O12">
        <f t="shared" si="3"/>
        <v>31.111111111111107</v>
      </c>
      <c r="P12" s="48"/>
    </row>
    <row r="13" spans="2:16" ht="17.5">
      <c r="B13" s="13">
        <v>6</v>
      </c>
      <c r="C13" s="13">
        <v>9</v>
      </c>
      <c r="D13" s="16">
        <v>1280</v>
      </c>
      <c r="F13" s="18">
        <v>11</v>
      </c>
      <c r="G13">
        <f t="shared" si="0"/>
        <v>88.5</v>
      </c>
      <c r="J13" s="171" t="s">
        <v>1411</v>
      </c>
      <c r="K13" s="171" t="str">
        <f t="shared" si="1"/>
        <v>KH9680</v>
      </c>
      <c r="L13" t="str">
        <f>MID(J13,FIND("--",J13)+2,FIND("(",J13)-FIND("--",J13)-2)</f>
        <v>500</v>
      </c>
      <c r="M13">
        <v>135</v>
      </c>
      <c r="N13">
        <f t="shared" si="2"/>
        <v>3.7037037037037037</v>
      </c>
      <c r="O13">
        <f t="shared" si="3"/>
        <v>34.81481481481481</v>
      </c>
      <c r="P13" s="48"/>
    </row>
    <row r="14" spans="2:16" ht="17.5">
      <c r="B14" s="13">
        <v>6</v>
      </c>
      <c r="C14" s="43">
        <v>10</v>
      </c>
      <c r="D14" s="51">
        <v>1490</v>
      </c>
      <c r="F14" s="18">
        <v>9.5</v>
      </c>
      <c r="G14">
        <f t="shared" si="0"/>
        <v>98</v>
      </c>
      <c r="J14" s="171" t="s">
        <v>1410</v>
      </c>
      <c r="K14" s="171" t="str">
        <f t="shared" si="1"/>
        <v>KH9681</v>
      </c>
      <c r="L14" t="str">
        <f>MID(J14,FIND("--",J14)+2,FIND("(",J14)-FIND("--",J14)-2)</f>
        <v>500</v>
      </c>
      <c r="M14">
        <v>135</v>
      </c>
      <c r="N14">
        <f t="shared" si="2"/>
        <v>3.7037037037037037</v>
      </c>
      <c r="O14">
        <f t="shared" si="3"/>
        <v>38.518518518518512</v>
      </c>
      <c r="P14" s="48"/>
    </row>
    <row r="15" spans="2:16" ht="17.5">
      <c r="B15" s="13">
        <v>6</v>
      </c>
      <c r="C15" s="43">
        <v>11</v>
      </c>
      <c r="D15" s="16">
        <v>1280</v>
      </c>
      <c r="F15" s="18">
        <v>11</v>
      </c>
      <c r="G15">
        <f t="shared" si="0"/>
        <v>109</v>
      </c>
      <c r="J15" s="171" t="s">
        <v>1409</v>
      </c>
      <c r="K15" s="171" t="str">
        <f t="shared" si="1"/>
        <v>KH9681</v>
      </c>
      <c r="L15" t="str">
        <f>MID(J15,FIND("--",J15)+2,FIND("(",J15)-FIND("--",J15)-2)</f>
        <v>336</v>
      </c>
      <c r="M15">
        <v>135</v>
      </c>
      <c r="N15">
        <f t="shared" si="2"/>
        <v>2.4888888888888889</v>
      </c>
      <c r="O15">
        <f t="shared" si="3"/>
        <v>41.007407407407399</v>
      </c>
      <c r="P15" s="48"/>
    </row>
    <row r="16" spans="2:16" ht="17.5">
      <c r="B16" s="13">
        <v>6</v>
      </c>
      <c r="C16" s="43">
        <v>12</v>
      </c>
      <c r="D16" s="16">
        <v>1490</v>
      </c>
      <c r="F16" s="18">
        <v>9.5</v>
      </c>
      <c r="G16">
        <f t="shared" si="0"/>
        <v>118.5</v>
      </c>
      <c r="J16" s="171" t="s">
        <v>1408</v>
      </c>
      <c r="K16" s="171" t="str">
        <f t="shared" si="1"/>
        <v>KK2438</v>
      </c>
      <c r="L16" t="str">
        <f>MID(J16,FIND("--",J16)+2,FIND("(",J16)-FIND("--",J16)-2)</f>
        <v>554</v>
      </c>
      <c r="M16">
        <v>135</v>
      </c>
      <c r="N16">
        <f t="shared" si="2"/>
        <v>4.1037037037037036</v>
      </c>
      <c r="O16">
        <f t="shared" si="3"/>
        <v>45.1111111111111</v>
      </c>
      <c r="P16" s="48"/>
    </row>
    <row r="17" spans="2:16" ht="17.5">
      <c r="B17" s="13">
        <v>6</v>
      </c>
      <c r="C17" s="13">
        <v>13</v>
      </c>
      <c r="D17" s="16">
        <v>1280</v>
      </c>
      <c r="F17" s="18">
        <v>9.5</v>
      </c>
      <c r="G17">
        <f t="shared" si="0"/>
        <v>128</v>
      </c>
      <c r="J17" s="171" t="s">
        <v>1407</v>
      </c>
      <c r="K17" s="171" t="str">
        <f t="shared" si="1"/>
        <v>KK2445</v>
      </c>
      <c r="L17" t="str">
        <f>MID(J17,FIND("--",J17)+2,FIND("(",J17)-FIND("--",J17)-2)</f>
        <v>608</v>
      </c>
      <c r="M17">
        <v>135</v>
      </c>
      <c r="N17">
        <f t="shared" si="2"/>
        <v>4.503703703703704</v>
      </c>
      <c r="O17">
        <f t="shared" si="3"/>
        <v>49.614814814814807</v>
      </c>
      <c r="P17" s="48"/>
    </row>
    <row r="18" spans="2:16" ht="17.5">
      <c r="B18" s="13">
        <v>6</v>
      </c>
      <c r="C18" s="43">
        <v>14</v>
      </c>
      <c r="D18" s="25"/>
      <c r="F18" s="25"/>
      <c r="G18">
        <f t="shared" si="0"/>
        <v>128</v>
      </c>
      <c r="J18" s="171" t="s">
        <v>1406</v>
      </c>
      <c r="K18" s="171" t="str">
        <f t="shared" si="1"/>
        <v>KK2445</v>
      </c>
      <c r="L18" t="str">
        <f>MID(J18,FIND("--",J18)+2,FIND("(",J18)-FIND("--",J18)-2)</f>
        <v>505</v>
      </c>
      <c r="M18">
        <v>135</v>
      </c>
      <c r="N18">
        <f t="shared" si="2"/>
        <v>3.7407407407407409</v>
      </c>
      <c r="O18">
        <f t="shared" si="3"/>
        <v>53.355555555555547</v>
      </c>
      <c r="P18" s="48"/>
    </row>
    <row r="19" spans="2:16" ht="17.5">
      <c r="B19" s="13">
        <v>6</v>
      </c>
      <c r="C19" s="43">
        <v>15</v>
      </c>
      <c r="D19" s="16">
        <v>1280</v>
      </c>
      <c r="F19" s="18">
        <v>8</v>
      </c>
      <c r="G19">
        <f t="shared" si="0"/>
        <v>136</v>
      </c>
      <c r="J19" s="96" t="s">
        <v>919</v>
      </c>
      <c r="K19" s="171" t="str">
        <f t="shared" si="1"/>
        <v>KI9862</v>
      </c>
      <c r="L19" t="str">
        <f>MID(J19,FIND("--",J19)+2,FIND("(",J19)-FIND("--",J19)-2)</f>
        <v>5000</v>
      </c>
      <c r="M19">
        <v>135</v>
      </c>
      <c r="N19">
        <f t="shared" si="2"/>
        <v>37.037037037037038</v>
      </c>
      <c r="O19">
        <f t="shared" si="3"/>
        <v>90.392592592592592</v>
      </c>
    </row>
    <row r="20" spans="2:16" ht="17.5">
      <c r="B20" s="13">
        <v>6</v>
      </c>
      <c r="C20" s="13">
        <v>16</v>
      </c>
      <c r="D20" s="16">
        <v>1080</v>
      </c>
      <c r="F20" s="18">
        <v>8</v>
      </c>
      <c r="G20">
        <f t="shared" si="0"/>
        <v>144</v>
      </c>
      <c r="J20" s="96" t="s">
        <v>920</v>
      </c>
      <c r="K20" s="171" t="str">
        <f t="shared" si="1"/>
        <v>KI7558</v>
      </c>
      <c r="L20" t="str">
        <f>MID(J20,FIND("--",J20)+2,FIND("(",J20)-FIND("--",J20)-2)</f>
        <v>300</v>
      </c>
      <c r="M20">
        <v>135</v>
      </c>
      <c r="N20">
        <f t="shared" si="2"/>
        <v>2.2222222222222223</v>
      </c>
      <c r="O20">
        <f t="shared" si="3"/>
        <v>92.614814814814821</v>
      </c>
    </row>
    <row r="21" spans="2:16" ht="17.5">
      <c r="B21" s="13">
        <v>6</v>
      </c>
      <c r="C21" s="43">
        <v>17</v>
      </c>
      <c r="D21" s="16">
        <v>1080</v>
      </c>
      <c r="F21" s="18">
        <v>8</v>
      </c>
      <c r="G21">
        <f t="shared" si="0"/>
        <v>152</v>
      </c>
      <c r="J21" s="22" t="s">
        <v>319</v>
      </c>
      <c r="K21" s="171" t="str">
        <f t="shared" si="1"/>
        <v>KJ5261</v>
      </c>
      <c r="L21" t="str">
        <f>MID(J21,FIND("--",J21)+2,FIND("(",J21)-FIND("--",J21)-2)</f>
        <v>608</v>
      </c>
      <c r="M21">
        <v>135</v>
      </c>
      <c r="N21">
        <f t="shared" si="2"/>
        <v>4.503703703703704</v>
      </c>
      <c r="O21">
        <f t="shared" si="3"/>
        <v>97.118518518518528</v>
      </c>
    </row>
    <row r="22" spans="2:16" ht="17.5">
      <c r="B22" s="13">
        <v>6</v>
      </c>
      <c r="C22" s="43">
        <v>18</v>
      </c>
      <c r="D22" s="16">
        <v>1080</v>
      </c>
      <c r="F22" s="18">
        <v>8</v>
      </c>
      <c r="G22">
        <f t="shared" si="0"/>
        <v>160</v>
      </c>
      <c r="J22" s="22" t="s">
        <v>318</v>
      </c>
      <c r="K22" s="171" t="str">
        <f t="shared" si="1"/>
        <v>KJ5260</v>
      </c>
      <c r="L22" t="str">
        <f>MID(J22,FIND("--",J22)+2,FIND("(",J22)-FIND("--",J22)-2)</f>
        <v>568</v>
      </c>
      <c r="M22">
        <v>135</v>
      </c>
      <c r="N22">
        <f t="shared" si="2"/>
        <v>4.2074074074074073</v>
      </c>
      <c r="O22">
        <f t="shared" si="3"/>
        <v>101.32592592592593</v>
      </c>
    </row>
    <row r="23" spans="2:16" ht="17.5">
      <c r="B23" s="13">
        <v>6</v>
      </c>
      <c r="C23" s="43">
        <v>19</v>
      </c>
      <c r="D23" s="16">
        <v>1080</v>
      </c>
      <c r="F23" s="18">
        <v>8</v>
      </c>
      <c r="G23">
        <f t="shared" si="0"/>
        <v>168</v>
      </c>
      <c r="J23" s="22" t="s">
        <v>193</v>
      </c>
      <c r="K23" s="171" t="str">
        <f t="shared" si="1"/>
        <v>KI7557</v>
      </c>
      <c r="L23" t="str">
        <f>MID(J23,FIND("--",J23)+2,FIND("(",J23)-FIND("--",J23)-2)</f>
        <v>3000</v>
      </c>
      <c r="M23">
        <v>135</v>
      </c>
      <c r="N23">
        <f t="shared" si="2"/>
        <v>22.222222222222221</v>
      </c>
      <c r="O23">
        <f t="shared" si="3"/>
        <v>123.54814814814816</v>
      </c>
    </row>
    <row r="24" spans="2:16" ht="17.5">
      <c r="B24" s="13">
        <v>6</v>
      </c>
      <c r="C24" s="13">
        <v>20</v>
      </c>
      <c r="D24" s="16">
        <v>1080</v>
      </c>
      <c r="F24" s="18">
        <v>8</v>
      </c>
      <c r="G24">
        <f t="shared" si="0"/>
        <v>176</v>
      </c>
      <c r="J24" s="22" t="s">
        <v>194</v>
      </c>
      <c r="K24" s="171" t="str">
        <f t="shared" si="1"/>
        <v>KI7558</v>
      </c>
      <c r="L24" t="str">
        <f>MID(J24,FIND("--",J24)+2,FIND("(",J24)-FIND("--",J24)-2)</f>
        <v>8200</v>
      </c>
      <c r="M24">
        <v>135</v>
      </c>
      <c r="N24">
        <f t="shared" si="2"/>
        <v>60.74074074074074</v>
      </c>
      <c r="O24">
        <f t="shared" si="3"/>
        <v>184.28888888888889</v>
      </c>
    </row>
    <row r="25" spans="2:16" ht="17.5">
      <c r="B25" s="13">
        <v>6</v>
      </c>
      <c r="C25" s="43">
        <v>21</v>
      </c>
      <c r="D25" s="25"/>
      <c r="F25" s="25"/>
      <c r="G25">
        <f t="shared" si="0"/>
        <v>176</v>
      </c>
      <c r="J25" s="22" t="s">
        <v>191</v>
      </c>
      <c r="K25" s="171" t="str">
        <f t="shared" si="1"/>
        <v>KZ6381</v>
      </c>
      <c r="L25" t="str">
        <f>MID(J25,FIND("--",J25)+2,FIND("(",J25)-FIND("--",J25)-2)</f>
        <v>1200</v>
      </c>
      <c r="M25">
        <v>135</v>
      </c>
      <c r="N25">
        <f t="shared" si="2"/>
        <v>8.8888888888888893</v>
      </c>
      <c r="O25">
        <f t="shared" si="3"/>
        <v>193.17777777777778</v>
      </c>
    </row>
    <row r="26" spans="2:16" ht="17.5">
      <c r="B26" s="13">
        <v>6</v>
      </c>
      <c r="C26" s="43">
        <v>22</v>
      </c>
      <c r="D26" s="68">
        <v>760</v>
      </c>
      <c r="E26">
        <v>135</v>
      </c>
      <c r="F26" s="18">
        <v>8</v>
      </c>
      <c r="G26">
        <f t="shared" si="0"/>
        <v>184</v>
      </c>
      <c r="J26" s="22" t="s">
        <v>192</v>
      </c>
      <c r="K26" s="171" t="str">
        <f t="shared" si="1"/>
        <v>KZ6382</v>
      </c>
      <c r="L26" t="str">
        <f>MID(J26,FIND("--",J26)+2,FIND("(",J26)-FIND("--",J26)-2)</f>
        <v>1200</v>
      </c>
      <c r="M26">
        <v>135</v>
      </c>
      <c r="N26">
        <f t="shared" si="2"/>
        <v>8.8888888888888893</v>
      </c>
      <c r="O26">
        <f t="shared" si="3"/>
        <v>202.06666666666666</v>
      </c>
    </row>
    <row r="27" spans="2:16" ht="16">
      <c r="B27" s="13">
        <v>6</v>
      </c>
      <c r="C27" s="13">
        <v>23</v>
      </c>
      <c r="D27" s="16">
        <v>1080</v>
      </c>
      <c r="F27" s="18">
        <v>8</v>
      </c>
      <c r="G27">
        <f t="shared" si="0"/>
        <v>192</v>
      </c>
    </row>
    <row r="28" spans="2:16" ht="16">
      <c r="B28" s="13">
        <v>6</v>
      </c>
      <c r="C28" s="43">
        <v>24</v>
      </c>
      <c r="D28" s="16">
        <v>1080</v>
      </c>
      <c r="F28" s="18">
        <v>8</v>
      </c>
      <c r="G28">
        <f t="shared" si="0"/>
        <v>200</v>
      </c>
    </row>
    <row r="29" spans="2:16" ht="16">
      <c r="B29" s="13">
        <v>6</v>
      </c>
      <c r="C29" s="13">
        <v>25</v>
      </c>
      <c r="D29" s="68">
        <v>970</v>
      </c>
      <c r="F29" s="18">
        <v>8</v>
      </c>
      <c r="G29">
        <f t="shared" si="0"/>
        <v>208</v>
      </c>
    </row>
    <row r="30" spans="2:16" ht="16">
      <c r="B30" s="13">
        <v>6</v>
      </c>
      <c r="C30" s="13">
        <v>26</v>
      </c>
      <c r="D30" s="16">
        <v>1080</v>
      </c>
      <c r="F30" s="18">
        <v>8</v>
      </c>
      <c r="G30">
        <f t="shared" si="0"/>
        <v>216</v>
      </c>
    </row>
    <row r="31" spans="2:16" ht="16">
      <c r="B31" s="13">
        <v>6</v>
      </c>
      <c r="C31" s="13">
        <v>27</v>
      </c>
      <c r="D31" s="16">
        <v>1080</v>
      </c>
      <c r="F31" s="18">
        <v>8</v>
      </c>
      <c r="G31">
        <f t="shared" si="0"/>
        <v>224</v>
      </c>
    </row>
    <row r="32" spans="2:16" ht="17.5">
      <c r="B32" s="13">
        <v>6</v>
      </c>
      <c r="C32" s="13">
        <v>28</v>
      </c>
      <c r="F32" s="25"/>
      <c r="G32">
        <f t="shared" si="0"/>
        <v>224</v>
      </c>
    </row>
    <row r="33" spans="2:7" ht="16">
      <c r="B33" s="13">
        <v>6</v>
      </c>
      <c r="C33" s="13">
        <v>29</v>
      </c>
      <c r="F33" s="18">
        <v>8</v>
      </c>
      <c r="G33">
        <f t="shared" si="0"/>
        <v>232</v>
      </c>
    </row>
    <row r="34" spans="2:7" ht="15">
      <c r="B34" s="13">
        <v>6</v>
      </c>
      <c r="C34" s="19">
        <v>30</v>
      </c>
    </row>
  </sheetData>
  <phoneticPr fontId="7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82"/>
  <sheetViews>
    <sheetView zoomScale="75" zoomScaleNormal="75" workbookViewId="0">
      <pane ySplit="4" topLeftCell="A41" activePane="bottomLeft" state="frozen"/>
      <selection activeCell="X50" sqref="X50"/>
      <selection pane="bottomLeft" activeCell="I69" sqref="I69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40" s="4" customFormat="1" ht="22">
      <c r="A1" s="3"/>
      <c r="B1" s="7"/>
      <c r="Q1" s="1" t="s">
        <v>1222</v>
      </c>
      <c r="AJ1" s="5" t="s">
        <v>1645</v>
      </c>
    </row>
    <row r="2" spans="1:40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40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40" s="11" customFormat="1" ht="17.25" customHeight="1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40" s="11" customFormat="1" ht="16.5" customHeight="1">
      <c r="A5" s="12" t="s">
        <v>0</v>
      </c>
      <c r="B5" s="16"/>
      <c r="C5" s="16"/>
      <c r="D5" s="16"/>
      <c r="E5" s="16"/>
      <c r="F5" s="16"/>
      <c r="G5" s="16">
        <v>1080</v>
      </c>
      <c r="H5" s="25"/>
      <c r="I5" s="16">
        <v>1080</v>
      </c>
      <c r="J5" s="16">
        <v>1490</v>
      </c>
      <c r="K5" s="16">
        <v>1490</v>
      </c>
      <c r="L5" s="16">
        <v>1540</v>
      </c>
      <c r="M5" s="68">
        <v>580</v>
      </c>
      <c r="N5" s="68">
        <v>540</v>
      </c>
      <c r="O5" s="25"/>
      <c r="P5" s="16">
        <v>600</v>
      </c>
      <c r="Q5" s="16">
        <v>710</v>
      </c>
      <c r="R5" s="68">
        <v>740</v>
      </c>
      <c r="S5" s="51">
        <v>710</v>
      </c>
      <c r="T5" s="16">
        <v>830</v>
      </c>
      <c r="U5" s="16">
        <v>710</v>
      </c>
      <c r="V5" s="25"/>
      <c r="W5" s="68">
        <v>860</v>
      </c>
      <c r="X5" s="68">
        <v>1050</v>
      </c>
      <c r="Y5" s="16">
        <v>1240</v>
      </c>
      <c r="Z5" s="16">
        <v>1240</v>
      </c>
      <c r="AA5" s="16">
        <v>1240</v>
      </c>
      <c r="AB5" s="16">
        <v>1240</v>
      </c>
      <c r="AC5" s="25"/>
      <c r="AD5" s="16">
        <v>1280</v>
      </c>
      <c r="AE5" s="16">
        <v>1280</v>
      </c>
      <c r="AF5" s="16">
        <v>1280</v>
      </c>
      <c r="AG5" s="16">
        <v>1280</v>
      </c>
      <c r="AH5" s="16">
        <v>1280</v>
      </c>
      <c r="AI5" s="16">
        <v>1080</v>
      </c>
      <c r="AJ5" s="25"/>
      <c r="AK5" s="16">
        <v>1080</v>
      </c>
      <c r="AL5" s="16">
        <v>1080</v>
      </c>
      <c r="AM5" s="17">
        <f>+SUM(B5:AL5)</f>
        <v>28610</v>
      </c>
    </row>
    <row r="6" spans="1:40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8">
        <v>11</v>
      </c>
      <c r="J6" s="18">
        <v>11</v>
      </c>
      <c r="K6" s="18">
        <v>11</v>
      </c>
      <c r="L6" s="18">
        <v>11</v>
      </c>
      <c r="M6" s="18">
        <v>8</v>
      </c>
      <c r="N6" s="18">
        <v>8</v>
      </c>
      <c r="O6" s="25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92">
        <v>9.5</v>
      </c>
      <c r="X6" s="192">
        <v>9.5</v>
      </c>
      <c r="Y6" s="192">
        <v>9.5</v>
      </c>
      <c r="Z6" s="192">
        <v>9.5</v>
      </c>
      <c r="AA6" s="192">
        <v>9.5</v>
      </c>
      <c r="AB6" s="192">
        <v>9.5</v>
      </c>
      <c r="AC6" s="193"/>
      <c r="AD6" s="192">
        <v>9.5</v>
      </c>
      <c r="AE6" s="192">
        <v>9.5</v>
      </c>
      <c r="AF6" s="192">
        <v>9.5</v>
      </c>
      <c r="AG6" s="192">
        <v>9.5</v>
      </c>
      <c r="AH6" s="18">
        <v>8</v>
      </c>
      <c r="AI6" s="18">
        <v>8</v>
      </c>
      <c r="AJ6" s="25"/>
      <c r="AK6" s="18">
        <v>8</v>
      </c>
      <c r="AL6" s="18">
        <v>8</v>
      </c>
    </row>
    <row r="7" spans="1:40" s="17" customFormat="1" ht="16.5" customHeight="1">
      <c r="A7" s="2" t="s">
        <v>19</v>
      </c>
      <c r="B7" s="41"/>
      <c r="C7" s="41"/>
      <c r="D7" s="41"/>
      <c r="E7" s="41"/>
      <c r="F7" s="41"/>
      <c r="G7" s="41" t="s">
        <v>317</v>
      </c>
      <c r="H7" s="25"/>
      <c r="I7" s="41"/>
      <c r="J7" s="41"/>
      <c r="K7" s="41"/>
      <c r="L7" s="41" t="s">
        <v>98</v>
      </c>
      <c r="M7" s="121" t="s">
        <v>294</v>
      </c>
      <c r="N7" s="121" t="s">
        <v>294</v>
      </c>
      <c r="O7" s="25"/>
      <c r="P7" s="121"/>
      <c r="Q7" s="121"/>
      <c r="R7" s="121" t="s">
        <v>294</v>
      </c>
      <c r="S7" s="41"/>
      <c r="T7" s="41"/>
      <c r="U7" s="41"/>
      <c r="V7" s="25"/>
      <c r="W7" s="41" t="s">
        <v>323</v>
      </c>
      <c r="X7" s="41"/>
      <c r="Y7" s="41"/>
      <c r="Z7" s="41"/>
      <c r="AA7" s="41"/>
      <c r="AB7" s="41"/>
      <c r="AC7" s="25"/>
      <c r="AD7" s="41" t="s">
        <v>317</v>
      </c>
      <c r="AE7" s="41"/>
      <c r="AF7" s="41"/>
      <c r="AG7" s="41"/>
      <c r="AH7" s="41"/>
      <c r="AI7" s="41"/>
      <c r="AJ7" s="25"/>
      <c r="AK7" s="41"/>
      <c r="AL7" s="60"/>
      <c r="AN7" s="11"/>
    </row>
    <row r="8" spans="1:40" s="17" customFormat="1" ht="16.5" customHeight="1">
      <c r="A8" s="2" t="s">
        <v>20</v>
      </c>
      <c r="B8" s="20"/>
      <c r="C8" s="20"/>
      <c r="D8" s="20"/>
      <c r="E8" s="20"/>
      <c r="F8" s="20"/>
      <c r="G8" s="20"/>
      <c r="H8" s="25"/>
      <c r="I8" s="20"/>
      <c r="J8" s="20"/>
      <c r="K8" s="20"/>
      <c r="L8" s="20"/>
      <c r="M8" s="20">
        <v>0.7</v>
      </c>
      <c r="N8" s="20">
        <v>0.9</v>
      </c>
      <c r="O8" s="25"/>
      <c r="P8" s="20"/>
      <c r="Q8" s="20"/>
      <c r="R8" s="20">
        <v>0.9</v>
      </c>
      <c r="S8" s="20"/>
      <c r="T8" s="20"/>
      <c r="U8" s="20"/>
      <c r="V8" s="25"/>
      <c r="W8" s="20">
        <v>0.7</v>
      </c>
      <c r="X8" s="20">
        <v>0.85</v>
      </c>
      <c r="Y8" s="20"/>
      <c r="Z8" s="20"/>
      <c r="AA8" s="20"/>
      <c r="AB8" s="20"/>
      <c r="AC8" s="25"/>
      <c r="AD8" s="20"/>
      <c r="AE8" s="20"/>
      <c r="AF8" s="20"/>
      <c r="AG8" s="20"/>
      <c r="AH8" s="20"/>
      <c r="AI8" s="20"/>
      <c r="AJ8" s="25"/>
      <c r="AK8" s="20"/>
      <c r="AL8" s="60"/>
      <c r="AN8" s="11"/>
    </row>
    <row r="9" spans="1:40" s="11" customFormat="1" ht="14.25" customHeight="1">
      <c r="A9" s="229" t="s">
        <v>25</v>
      </c>
      <c r="B9" s="46"/>
      <c r="C9" s="49"/>
      <c r="D9" s="40"/>
      <c r="E9" s="47"/>
      <c r="G9" s="42" t="s">
        <v>833</v>
      </c>
      <c r="H9" s="48"/>
      <c r="J9" s="47"/>
      <c r="K9" s="40"/>
      <c r="M9" s="81" t="s">
        <v>1255</v>
      </c>
      <c r="N9" s="40"/>
      <c r="O9" s="48"/>
      <c r="P9" s="40"/>
      <c r="Q9" s="40"/>
      <c r="R9" s="40"/>
      <c r="S9" s="40"/>
      <c r="T9" s="40"/>
      <c r="U9" s="40"/>
      <c r="V9" s="48"/>
      <c r="W9" s="50" t="s">
        <v>195</v>
      </c>
      <c r="X9" s="40"/>
      <c r="Y9" s="40"/>
      <c r="Z9" s="40"/>
      <c r="AA9" s="50"/>
      <c r="AB9" s="40"/>
      <c r="AC9" s="48"/>
      <c r="AD9" s="40"/>
      <c r="AE9" s="40"/>
      <c r="AF9" s="40"/>
      <c r="AI9" s="47"/>
      <c r="AJ9" s="48"/>
      <c r="AK9" s="62"/>
      <c r="AL9" s="61"/>
    </row>
    <row r="10" spans="1:40" s="11" customFormat="1" ht="14.25" customHeight="1">
      <c r="A10" s="230"/>
      <c r="B10" s="22"/>
      <c r="C10" s="22"/>
      <c r="D10" s="40"/>
      <c r="E10" s="21"/>
      <c r="F10" s="40"/>
      <c r="G10" s="215" t="s">
        <v>1442</v>
      </c>
      <c r="H10" s="48"/>
      <c r="I10" s="40"/>
      <c r="J10" s="21"/>
      <c r="K10" s="40"/>
      <c r="L10" s="40"/>
      <c r="M10" s="22" t="s">
        <v>482</v>
      </c>
      <c r="N10" s="40"/>
      <c r="O10" s="48"/>
      <c r="P10" s="40"/>
      <c r="Q10" s="40"/>
      <c r="R10" s="40"/>
      <c r="S10" s="40"/>
      <c r="T10" s="40"/>
      <c r="U10" s="40"/>
      <c r="V10" s="48"/>
      <c r="W10" s="74" t="s">
        <v>196</v>
      </c>
      <c r="X10" s="40"/>
      <c r="Y10" s="40"/>
      <c r="Z10" s="40"/>
      <c r="AA10" s="40"/>
      <c r="AB10" s="40"/>
      <c r="AC10" s="48"/>
      <c r="AD10" s="40"/>
      <c r="AE10" s="40"/>
      <c r="AF10" s="40"/>
      <c r="AG10" s="40"/>
      <c r="AH10" s="40"/>
      <c r="AI10" s="21"/>
      <c r="AJ10" s="48"/>
      <c r="AK10" s="58"/>
      <c r="AL10" s="61"/>
    </row>
    <row r="11" spans="1:40" s="11" customFormat="1" ht="14.25" customHeight="1">
      <c r="A11" s="230"/>
      <c r="B11" s="22"/>
      <c r="C11" s="22"/>
      <c r="D11" s="40"/>
      <c r="E11" s="21"/>
      <c r="F11" s="40"/>
      <c r="G11" s="203" t="s">
        <v>852</v>
      </c>
      <c r="H11" s="48"/>
      <c r="I11" s="40"/>
      <c r="J11" s="21"/>
      <c r="K11" s="40"/>
      <c r="L11" s="40"/>
      <c r="M11" s="22" t="s">
        <v>480</v>
      </c>
      <c r="N11" s="40"/>
      <c r="O11" s="48"/>
      <c r="P11" s="40"/>
      <c r="Q11" s="40"/>
      <c r="R11" s="40"/>
      <c r="S11" s="40"/>
      <c r="T11" s="40"/>
      <c r="U11" s="40"/>
      <c r="V11" s="48"/>
      <c r="W11" s="189" t="s">
        <v>1305</v>
      </c>
      <c r="X11" s="40"/>
      <c r="Y11" s="40"/>
      <c r="Z11" s="40"/>
      <c r="AA11" s="40"/>
      <c r="AB11" s="40"/>
      <c r="AC11" s="48"/>
      <c r="AD11" s="40"/>
      <c r="AE11" s="40"/>
      <c r="AF11" s="40"/>
      <c r="AG11" s="40"/>
      <c r="AH11" s="40"/>
      <c r="AI11" s="21"/>
      <c r="AJ11" s="48"/>
      <c r="AK11" s="58"/>
      <c r="AL11" s="61"/>
    </row>
    <row r="12" spans="1:40" s="11" customFormat="1" ht="14.25" customHeight="1">
      <c r="A12" s="230"/>
      <c r="B12" s="22"/>
      <c r="C12" s="55"/>
      <c r="D12" s="40"/>
      <c r="E12" s="21"/>
      <c r="F12" s="40"/>
      <c r="G12" s="171" t="s">
        <v>1441</v>
      </c>
      <c r="H12" s="48"/>
      <c r="I12" s="40"/>
      <c r="J12" s="21"/>
      <c r="K12" s="40"/>
      <c r="L12" s="40"/>
      <c r="M12" s="22" t="s">
        <v>481</v>
      </c>
      <c r="N12" s="40"/>
      <c r="O12" s="48"/>
      <c r="P12" s="40"/>
      <c r="Q12" s="40"/>
      <c r="R12" s="40"/>
      <c r="S12" s="40"/>
      <c r="T12" s="40"/>
      <c r="U12" s="40"/>
      <c r="V12" s="48"/>
      <c r="W12" s="171" t="s">
        <v>1091</v>
      </c>
      <c r="X12" s="40"/>
      <c r="Y12" s="40"/>
      <c r="Z12" s="40"/>
      <c r="AA12" s="40"/>
      <c r="AB12" s="40"/>
      <c r="AC12" s="48"/>
      <c r="AD12" s="40"/>
      <c r="AE12" s="40"/>
      <c r="AF12" s="40"/>
      <c r="AG12" s="40"/>
      <c r="AH12" s="40"/>
      <c r="AI12" s="21"/>
      <c r="AJ12" s="48"/>
      <c r="AK12" s="58"/>
      <c r="AL12" s="61"/>
    </row>
    <row r="13" spans="1:40" s="11" customFormat="1" ht="14.25" customHeight="1">
      <c r="A13" s="230"/>
      <c r="B13" s="22"/>
      <c r="C13" s="22"/>
      <c r="D13" s="40"/>
      <c r="E13" s="21"/>
      <c r="F13" s="195"/>
      <c r="G13" s="171" t="s">
        <v>1440</v>
      </c>
      <c r="H13" s="48"/>
      <c r="I13" s="40"/>
      <c r="J13" s="21"/>
      <c r="K13" s="40"/>
      <c r="L13" s="40"/>
      <c r="M13" s="73" t="s">
        <v>516</v>
      </c>
      <c r="N13" s="40"/>
      <c r="O13" s="48"/>
      <c r="P13" s="40"/>
      <c r="Q13" s="40"/>
      <c r="R13" s="40"/>
      <c r="S13" s="40"/>
      <c r="T13" s="40"/>
      <c r="U13" s="40"/>
      <c r="V13" s="48"/>
      <c r="W13" s="166" t="s">
        <v>1357</v>
      </c>
      <c r="X13" s="40"/>
      <c r="Y13" s="40"/>
      <c r="Z13" s="40"/>
      <c r="AA13" s="40"/>
      <c r="AB13" s="40"/>
      <c r="AC13" s="48"/>
      <c r="AD13" s="40"/>
      <c r="AE13" s="40"/>
      <c r="AF13" s="40"/>
      <c r="AG13" s="40"/>
      <c r="AH13" s="40"/>
      <c r="AI13" s="21"/>
      <c r="AJ13" s="48"/>
      <c r="AK13" s="58"/>
      <c r="AL13" s="61"/>
    </row>
    <row r="14" spans="1:40" s="11" customFormat="1" ht="14.25" customHeight="1">
      <c r="A14" s="230"/>
      <c r="B14" s="22"/>
      <c r="C14" s="22"/>
      <c r="D14" s="40"/>
      <c r="E14" s="21"/>
      <c r="F14" s="21"/>
      <c r="G14" s="213" t="s">
        <v>1384</v>
      </c>
      <c r="H14" s="48"/>
      <c r="I14" s="40"/>
      <c r="J14" s="21"/>
      <c r="K14" s="40"/>
      <c r="L14" s="40"/>
      <c r="M14" s="53" t="s">
        <v>517</v>
      </c>
      <c r="N14" s="40"/>
      <c r="O14" s="48"/>
      <c r="P14" s="40"/>
      <c r="Q14" s="40"/>
      <c r="R14" s="40"/>
      <c r="S14" s="40"/>
      <c r="T14" s="40"/>
      <c r="U14" s="40"/>
      <c r="V14" s="48"/>
      <c r="W14" s="40"/>
      <c r="X14" s="40"/>
      <c r="Y14" s="40"/>
      <c r="Z14" s="40"/>
      <c r="AA14" s="40"/>
      <c r="AB14" s="40"/>
      <c r="AC14" s="48"/>
      <c r="AD14" s="40"/>
      <c r="AE14" s="40"/>
      <c r="AF14" s="40"/>
      <c r="AG14" s="40"/>
      <c r="AH14" s="40"/>
      <c r="AI14" s="21"/>
      <c r="AJ14" s="48"/>
      <c r="AK14" s="58"/>
      <c r="AL14" s="61"/>
    </row>
    <row r="15" spans="1:40" s="11" customFormat="1" ht="14.25" customHeight="1">
      <c r="A15" s="230"/>
      <c r="B15" s="22"/>
      <c r="C15" s="22"/>
      <c r="D15" s="40"/>
      <c r="E15" s="21"/>
      <c r="F15" s="21"/>
      <c r="G15" s="40"/>
      <c r="H15" s="48"/>
      <c r="I15" s="40"/>
      <c r="J15" s="21"/>
      <c r="K15" s="40"/>
      <c r="L15" s="40"/>
      <c r="M15" s="22" t="s">
        <v>974</v>
      </c>
      <c r="N15" s="40"/>
      <c r="O15" s="48"/>
      <c r="P15" s="40"/>
      <c r="Q15" s="40"/>
      <c r="S15" s="40"/>
      <c r="T15" s="40"/>
      <c r="U15" s="40"/>
      <c r="V15" s="48"/>
      <c r="W15" s="40"/>
      <c r="X15" s="40"/>
      <c r="Y15" s="40"/>
      <c r="Z15" s="40"/>
      <c r="AA15" s="40"/>
      <c r="AB15" s="40"/>
      <c r="AC15" s="48"/>
      <c r="AD15" s="40"/>
      <c r="AE15" s="40"/>
      <c r="AF15" s="40"/>
      <c r="AG15" s="40"/>
      <c r="AH15" s="40"/>
      <c r="AI15" s="21"/>
      <c r="AJ15" s="48"/>
      <c r="AK15" s="58"/>
      <c r="AL15" s="61"/>
    </row>
    <row r="16" spans="1:40" s="11" customFormat="1" ht="14.25" customHeight="1">
      <c r="A16" s="230"/>
      <c r="B16" s="22"/>
      <c r="C16" s="22"/>
      <c r="D16" s="40"/>
      <c r="E16" s="203"/>
      <c r="F16" s="21"/>
      <c r="H16" s="48"/>
      <c r="I16" s="40"/>
      <c r="J16" s="21"/>
      <c r="K16" s="40"/>
      <c r="L16" s="40"/>
      <c r="M16" s="22" t="s">
        <v>975</v>
      </c>
      <c r="N16" s="40"/>
      <c r="O16" s="48"/>
      <c r="P16" s="40"/>
      <c r="Q16" s="40"/>
      <c r="R16" s="40"/>
      <c r="S16" s="40"/>
      <c r="T16" s="40"/>
      <c r="U16" s="40"/>
      <c r="V16" s="48"/>
      <c r="W16" s="40"/>
      <c r="X16" s="40"/>
      <c r="Y16" s="40"/>
      <c r="Z16" s="40"/>
      <c r="AA16" s="40"/>
      <c r="AB16" s="40"/>
      <c r="AC16" s="48"/>
      <c r="AD16" s="40"/>
      <c r="AE16" s="40"/>
      <c r="AF16" s="40"/>
      <c r="AG16" s="40"/>
      <c r="AH16" s="40"/>
      <c r="AI16" s="21"/>
      <c r="AJ16" s="48"/>
      <c r="AK16" s="58"/>
      <c r="AL16" s="61"/>
    </row>
    <row r="17" spans="1:41" s="11" customFormat="1" ht="14.25" customHeight="1">
      <c r="A17" s="230"/>
      <c r="B17" s="22"/>
      <c r="C17" s="22"/>
      <c r="D17" s="40"/>
      <c r="E17" s="21"/>
      <c r="F17" s="21"/>
      <c r="G17" s="40"/>
      <c r="H17" s="48"/>
      <c r="I17" s="40"/>
      <c r="J17" s="21"/>
      <c r="K17" s="40"/>
      <c r="L17" s="40"/>
      <c r="M17" s="22" t="s">
        <v>976</v>
      </c>
      <c r="N17" s="40"/>
      <c r="O17" s="48"/>
      <c r="P17" s="40"/>
      <c r="Q17" s="40"/>
      <c r="R17" s="40"/>
      <c r="S17" s="40"/>
      <c r="T17" s="40"/>
      <c r="U17" s="40"/>
      <c r="V17" s="48"/>
      <c r="W17" s="40"/>
      <c r="X17" s="40"/>
      <c r="Y17" s="40"/>
      <c r="Z17" s="40"/>
      <c r="AA17" s="40"/>
      <c r="AB17" s="40"/>
      <c r="AC17" s="48"/>
      <c r="AD17" s="40"/>
      <c r="AE17" s="40"/>
      <c r="AF17" s="40"/>
      <c r="AG17" s="40"/>
      <c r="AH17" s="40"/>
      <c r="AI17" s="21"/>
      <c r="AL17" s="61"/>
    </row>
    <row r="18" spans="1:41" s="11" customFormat="1" ht="14.25" customHeight="1">
      <c r="A18" s="230"/>
      <c r="B18" s="22"/>
      <c r="C18" s="22"/>
      <c r="D18" s="40"/>
      <c r="E18" s="73"/>
      <c r="F18" s="21"/>
      <c r="G18" s="40"/>
      <c r="H18" s="48"/>
      <c r="I18" s="40"/>
      <c r="J18" s="21"/>
      <c r="K18" s="40"/>
      <c r="L18" s="40"/>
      <c r="M18" s="53" t="s">
        <v>1306</v>
      </c>
      <c r="N18" s="40"/>
      <c r="O18" s="48"/>
      <c r="P18" s="40"/>
      <c r="Q18" s="40"/>
      <c r="R18" s="40"/>
      <c r="S18" s="40"/>
      <c r="T18" s="40"/>
      <c r="U18" s="40"/>
      <c r="V18" s="48"/>
      <c r="W18" s="40"/>
      <c r="X18" s="40"/>
      <c r="Y18" s="73"/>
      <c r="Z18" s="40"/>
      <c r="AA18" s="40"/>
      <c r="AB18" s="40"/>
      <c r="AC18" s="48"/>
      <c r="AD18" s="40"/>
      <c r="AE18" s="40"/>
      <c r="AF18" s="40"/>
      <c r="AG18" s="40"/>
      <c r="AH18" s="22"/>
      <c r="AI18" s="21"/>
      <c r="AJ18" s="231">
        <f>+SUM(B27:AL27)</f>
        <v>32709</v>
      </c>
      <c r="AK18" s="232"/>
      <c r="AL18" s="23" t="s">
        <v>1</v>
      </c>
    </row>
    <row r="19" spans="1:41" s="11" customFormat="1" ht="14.25" customHeight="1">
      <c r="A19" s="230"/>
      <c r="B19" s="91"/>
      <c r="C19" s="22"/>
      <c r="D19" s="40"/>
      <c r="E19" s="40"/>
      <c r="F19" s="21"/>
      <c r="G19" s="40"/>
      <c r="H19" s="48"/>
      <c r="I19" s="40"/>
      <c r="J19" s="21"/>
      <c r="K19" s="40"/>
      <c r="L19" s="40"/>
      <c r="M19" s="73" t="s">
        <v>513</v>
      </c>
      <c r="N19" s="40"/>
      <c r="O19" s="48"/>
      <c r="P19" s="40"/>
      <c r="Q19" s="40"/>
      <c r="R19" s="40"/>
      <c r="S19" s="40"/>
      <c r="T19" s="40"/>
      <c r="U19" s="40"/>
      <c r="V19" s="48"/>
      <c r="W19" s="40"/>
      <c r="X19" s="40"/>
      <c r="Y19" s="40"/>
      <c r="Z19" s="40"/>
      <c r="AA19" s="40"/>
      <c r="AB19" s="40"/>
      <c r="AC19" s="48"/>
      <c r="AD19" s="40"/>
      <c r="AE19" s="40"/>
      <c r="AF19" s="40"/>
      <c r="AG19" s="40"/>
      <c r="AH19" s="91"/>
      <c r="AI19" s="21"/>
      <c r="AJ19" s="48"/>
      <c r="AK19" s="156"/>
      <c r="AL19" s="61"/>
    </row>
    <row r="20" spans="1:41" s="11" customFormat="1" ht="14.25" customHeight="1">
      <c r="A20" s="230"/>
      <c r="B20" s="91"/>
      <c r="C20" s="22"/>
      <c r="D20" s="40"/>
      <c r="E20" s="40"/>
      <c r="F20" s="21"/>
      <c r="G20" s="40"/>
      <c r="H20" s="48"/>
      <c r="I20" s="40"/>
      <c r="J20" s="21"/>
      <c r="K20" s="40"/>
      <c r="L20" s="40"/>
      <c r="M20" s="22" t="s">
        <v>514</v>
      </c>
      <c r="N20" s="40"/>
      <c r="O20" s="48"/>
      <c r="P20" s="40"/>
      <c r="Q20" s="22"/>
      <c r="R20" s="40"/>
      <c r="S20" s="40"/>
      <c r="T20" s="40"/>
      <c r="U20" s="40"/>
      <c r="V20" s="48"/>
      <c r="W20" s="21"/>
      <c r="X20" s="40"/>
      <c r="Y20" s="40"/>
      <c r="Z20" s="40"/>
      <c r="AA20" s="40"/>
      <c r="AB20" s="21"/>
      <c r="AC20" s="48"/>
      <c r="AD20" s="40"/>
      <c r="AE20" s="40"/>
      <c r="AF20" s="40"/>
      <c r="AG20" s="40"/>
      <c r="AH20" s="91"/>
      <c r="AI20" s="40"/>
      <c r="AJ20" s="48"/>
      <c r="AK20" s="156"/>
      <c r="AL20" s="61"/>
    </row>
    <row r="21" spans="1:41" s="11" customFormat="1" ht="14.25" customHeight="1">
      <c r="A21" s="230"/>
      <c r="B21" s="91"/>
      <c r="C21" s="22"/>
      <c r="D21" s="40"/>
      <c r="E21" s="40"/>
      <c r="F21" s="40"/>
      <c r="G21" s="40"/>
      <c r="H21" s="48"/>
      <c r="I21" s="40"/>
      <c r="J21" s="21"/>
      <c r="K21" s="40"/>
      <c r="L21" s="40"/>
      <c r="M21" s="22" t="s">
        <v>1307</v>
      </c>
      <c r="N21" s="40"/>
      <c r="O21" s="48"/>
      <c r="P21" s="40"/>
      <c r="Q21" s="22"/>
      <c r="R21" s="40"/>
      <c r="S21" s="40"/>
      <c r="T21" s="40"/>
      <c r="U21" s="40"/>
      <c r="V21" s="48"/>
      <c r="W21" s="21"/>
      <c r="X21" s="40"/>
      <c r="Y21" s="40"/>
      <c r="Z21" s="40"/>
      <c r="AA21" s="40"/>
      <c r="AB21" s="21"/>
      <c r="AC21" s="48"/>
      <c r="AD21" s="40"/>
      <c r="AE21" s="40"/>
      <c r="AF21" s="40"/>
      <c r="AG21" s="40"/>
      <c r="AH21" s="91"/>
      <c r="AI21" s="40"/>
      <c r="AJ21" s="48"/>
      <c r="AK21" s="156"/>
      <c r="AL21" s="61"/>
      <c r="AO21" s="21"/>
    </row>
    <row r="22" spans="1:41" s="11" customFormat="1" ht="14.25" customHeight="1">
      <c r="A22" s="230"/>
      <c r="B22" s="91"/>
      <c r="C22" s="22"/>
      <c r="D22" s="40"/>
      <c r="E22" s="40"/>
      <c r="F22" s="40"/>
      <c r="G22" s="21"/>
      <c r="H22" s="48"/>
      <c r="I22" s="40"/>
      <c r="J22" s="21"/>
      <c r="K22" s="40"/>
      <c r="L22" s="40"/>
      <c r="M22" s="53" t="s">
        <v>1308</v>
      </c>
      <c r="N22" s="40"/>
      <c r="O22" s="48"/>
      <c r="P22" s="40"/>
      <c r="Q22" s="22"/>
      <c r="R22" s="40"/>
      <c r="S22" s="40"/>
      <c r="T22" s="40"/>
      <c r="U22" s="40"/>
      <c r="V22" s="48"/>
      <c r="W22" s="21"/>
      <c r="X22" s="40"/>
      <c r="Y22" s="40"/>
      <c r="Z22" s="40"/>
      <c r="AA22" s="40"/>
      <c r="AB22" s="21"/>
      <c r="AC22" s="48"/>
      <c r="AD22" s="40"/>
      <c r="AE22" s="40"/>
      <c r="AF22" s="40"/>
      <c r="AG22" s="40"/>
      <c r="AH22" s="91"/>
      <c r="AI22" s="40"/>
      <c r="AJ22" s="48"/>
      <c r="AK22" s="156"/>
      <c r="AL22" s="61"/>
      <c r="AO22" s="21"/>
    </row>
    <row r="23" spans="1:41" s="11" customFormat="1" ht="14.25" customHeight="1">
      <c r="A23" s="230"/>
      <c r="B23" s="91"/>
      <c r="C23" s="22"/>
      <c r="D23" s="40"/>
      <c r="E23" s="40"/>
      <c r="F23" s="21"/>
      <c r="G23" s="21"/>
      <c r="H23" s="48"/>
      <c r="I23" s="40"/>
      <c r="J23" s="21"/>
      <c r="K23" s="40"/>
      <c r="L23" s="40"/>
      <c r="M23" s="53" t="s">
        <v>515</v>
      </c>
      <c r="N23" s="40"/>
      <c r="O23" s="48"/>
      <c r="P23" s="40"/>
      <c r="Q23" s="22"/>
      <c r="R23" s="22"/>
      <c r="S23" s="40"/>
      <c r="T23" s="40"/>
      <c r="U23" s="40"/>
      <c r="V23" s="48"/>
      <c r="W23" s="21"/>
      <c r="X23" s="40"/>
      <c r="Y23" s="40"/>
      <c r="Z23" s="40"/>
      <c r="AA23" s="40"/>
      <c r="AB23" s="21"/>
      <c r="AC23" s="48"/>
      <c r="AD23" s="40"/>
      <c r="AE23" s="40"/>
      <c r="AF23" s="40"/>
      <c r="AG23" s="40"/>
      <c r="AH23" s="91"/>
      <c r="AI23" s="40"/>
      <c r="AJ23" s="48"/>
      <c r="AK23" s="156"/>
      <c r="AL23" s="61"/>
    </row>
    <row r="24" spans="1:41" s="11" customFormat="1" ht="14.25" customHeight="1">
      <c r="A24" s="230"/>
      <c r="B24" s="91"/>
      <c r="C24" s="22"/>
      <c r="D24" s="40"/>
      <c r="E24" s="40"/>
      <c r="F24" s="21"/>
      <c r="G24" s="21"/>
      <c r="H24" s="48"/>
      <c r="I24" s="40"/>
      <c r="J24" s="21"/>
      <c r="K24" s="40"/>
      <c r="L24" s="40"/>
      <c r="M24" s="22" t="s">
        <v>1309</v>
      </c>
      <c r="N24" s="40"/>
      <c r="O24" s="48"/>
      <c r="P24" s="40"/>
      <c r="Q24" s="40"/>
      <c r="R24" s="22"/>
      <c r="S24" s="40"/>
      <c r="T24" s="40"/>
      <c r="U24" s="21"/>
      <c r="V24" s="48"/>
      <c r="W24" s="21"/>
      <c r="X24" s="40"/>
      <c r="Y24" s="40"/>
      <c r="Z24" s="40"/>
      <c r="AA24" s="40"/>
      <c r="AB24" s="21"/>
      <c r="AC24" s="48"/>
      <c r="AD24" s="40"/>
      <c r="AE24" s="40"/>
      <c r="AF24" s="40"/>
      <c r="AG24" s="40"/>
      <c r="AH24" s="91"/>
      <c r="AJ24" s="48"/>
      <c r="AK24" s="156"/>
      <c r="AL24" s="61"/>
    </row>
    <row r="25" spans="1:41" s="11" customFormat="1" ht="14.25" customHeight="1">
      <c r="A25" s="230"/>
      <c r="B25" s="91"/>
      <c r="C25" s="22"/>
      <c r="D25" s="40"/>
      <c r="E25" s="40"/>
      <c r="F25" s="21"/>
      <c r="G25" s="21"/>
      <c r="H25" s="48"/>
      <c r="I25" s="40"/>
      <c r="J25" s="21"/>
      <c r="K25" s="40"/>
      <c r="L25" s="40"/>
      <c r="M25" s="53" t="s">
        <v>1310</v>
      </c>
      <c r="N25" s="40"/>
      <c r="O25" s="98"/>
      <c r="P25" s="40"/>
      <c r="Q25" s="40"/>
      <c r="R25" s="22"/>
      <c r="S25" s="40"/>
      <c r="T25" s="40"/>
      <c r="U25" s="21"/>
      <c r="V25" s="48"/>
      <c r="W25" s="21"/>
      <c r="X25" s="40"/>
      <c r="Y25" s="40"/>
      <c r="Z25" s="40"/>
      <c r="AA25" s="40"/>
      <c r="AB25" s="21"/>
      <c r="AC25" s="48"/>
      <c r="AD25" s="40"/>
      <c r="AE25" s="40"/>
      <c r="AF25" s="40"/>
      <c r="AG25" s="40"/>
      <c r="AH25" s="91"/>
      <c r="AI25" s="97"/>
      <c r="AJ25" s="48"/>
      <c r="AK25" s="156"/>
      <c r="AL25" s="61"/>
    </row>
    <row r="26" spans="1:41" s="11" customFormat="1" ht="14.25" customHeight="1">
      <c r="A26" s="230"/>
      <c r="B26" s="91"/>
      <c r="C26" s="22"/>
      <c r="D26" s="40"/>
      <c r="E26" s="40"/>
      <c r="F26" s="21"/>
      <c r="G26" s="21"/>
      <c r="H26" s="48"/>
      <c r="I26" s="40"/>
      <c r="J26" s="21"/>
      <c r="K26" s="40"/>
      <c r="L26" s="40"/>
      <c r="M26" s="22" t="s">
        <v>973</v>
      </c>
      <c r="N26" s="40"/>
      <c r="O26" s="98"/>
      <c r="P26" s="40"/>
      <c r="Q26" s="40"/>
      <c r="R26" s="22"/>
      <c r="S26" s="40"/>
      <c r="T26" s="40"/>
      <c r="U26" s="21"/>
      <c r="V26" s="48"/>
      <c r="W26" s="21"/>
      <c r="X26" s="40"/>
      <c r="Y26" s="40"/>
      <c r="Z26" s="40"/>
      <c r="AA26" s="40"/>
      <c r="AB26" s="21"/>
      <c r="AC26" s="48"/>
      <c r="AD26" s="40"/>
      <c r="AE26" s="40"/>
      <c r="AF26" s="40"/>
      <c r="AG26" s="40"/>
      <c r="AH26" s="91"/>
      <c r="AI26" s="97" t="s">
        <v>1259</v>
      </c>
      <c r="AJ26" s="48"/>
      <c r="AK26" s="156"/>
      <c r="AL26" s="61"/>
    </row>
    <row r="27" spans="1:41" s="11" customFormat="1" ht="18" customHeight="1">
      <c r="A27" s="230"/>
      <c r="B27" s="24"/>
      <c r="C27" s="56"/>
      <c r="D27" s="24"/>
      <c r="E27" s="56"/>
      <c r="F27" s="24"/>
      <c r="G27" s="233">
        <f>1800+477+4959</f>
        <v>7236</v>
      </c>
      <c r="H27" s="234"/>
      <c r="I27" s="24"/>
      <c r="J27" s="56"/>
      <c r="K27" s="24"/>
      <c r="L27" s="56"/>
      <c r="M27" s="233">
        <f>148+477+102+726+36+125+620+171+208+540+48+249+36+40+366+499+1267+204+452+253</f>
        <v>6567</v>
      </c>
      <c r="N27" s="234"/>
      <c r="O27" s="56"/>
      <c r="P27" s="56"/>
      <c r="Q27" s="24"/>
      <c r="R27" s="24"/>
      <c r="S27" s="56"/>
      <c r="T27" s="24"/>
      <c r="U27" s="56"/>
      <c r="V27" s="24"/>
      <c r="W27" s="233">
        <f>4423+14483</f>
        <v>18906</v>
      </c>
      <c r="X27" s="234"/>
      <c r="Y27" s="24"/>
      <c r="Z27" s="24"/>
      <c r="AA27" s="24"/>
      <c r="AB27" s="24"/>
      <c r="AC27" s="24"/>
      <c r="AD27" s="24"/>
      <c r="AE27" s="24"/>
      <c r="AF27" s="56"/>
      <c r="AG27" s="24"/>
      <c r="AH27" s="56"/>
      <c r="AI27" s="56"/>
      <c r="AJ27" s="24"/>
      <c r="AK27" s="24"/>
      <c r="AL27" s="64"/>
    </row>
    <row r="28" spans="1:41" s="11" customFormat="1" ht="2.25" customHeight="1">
      <c r="A28" s="26"/>
      <c r="B28" s="27"/>
      <c r="C28" s="27"/>
      <c r="D28" s="27"/>
      <c r="E28" s="28"/>
      <c r="F28" s="27"/>
      <c r="G28" s="27"/>
      <c r="H28" s="29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0"/>
    </row>
    <row r="29" spans="1:41" s="11" customFormat="1" ht="16.5" customHeight="1">
      <c r="A29" s="12" t="s">
        <v>0</v>
      </c>
      <c r="B29" s="16"/>
      <c r="C29" s="16"/>
      <c r="D29" s="16"/>
      <c r="E29" s="16"/>
      <c r="F29" s="16"/>
      <c r="G29" s="16">
        <v>1000</v>
      </c>
      <c r="H29" s="25"/>
      <c r="I29" s="16">
        <v>1000</v>
      </c>
      <c r="J29" s="16">
        <v>1380</v>
      </c>
      <c r="K29" s="16">
        <v>1380</v>
      </c>
      <c r="L29" s="16">
        <v>1380</v>
      </c>
      <c r="M29" s="68">
        <v>790</v>
      </c>
      <c r="N29" s="16">
        <v>640</v>
      </c>
      <c r="O29" s="25"/>
      <c r="P29" s="68">
        <v>940</v>
      </c>
      <c r="Q29" s="16">
        <v>1240</v>
      </c>
      <c r="R29" s="16">
        <v>1240</v>
      </c>
      <c r="S29" s="51">
        <v>1240</v>
      </c>
      <c r="T29" s="16">
        <v>1240</v>
      </c>
      <c r="U29" s="16">
        <v>1240</v>
      </c>
      <c r="V29" s="25"/>
      <c r="W29" s="16">
        <v>1240</v>
      </c>
      <c r="X29" s="16">
        <v>1040</v>
      </c>
      <c r="Y29" s="16">
        <v>1040</v>
      </c>
      <c r="Z29" s="16">
        <v>1040</v>
      </c>
      <c r="AA29" s="16">
        <v>1040</v>
      </c>
      <c r="AB29" s="16">
        <v>1040</v>
      </c>
      <c r="AC29" s="25"/>
      <c r="AD29" s="16">
        <v>1040</v>
      </c>
      <c r="AE29" s="16">
        <v>1040</v>
      </c>
      <c r="AF29" s="16">
        <v>1040</v>
      </c>
      <c r="AG29" s="16">
        <v>1040</v>
      </c>
      <c r="AH29" s="16">
        <v>1040</v>
      </c>
      <c r="AI29" s="16">
        <v>1040</v>
      </c>
      <c r="AJ29" s="25"/>
      <c r="AK29" s="16">
        <v>1040</v>
      </c>
      <c r="AL29" s="129"/>
      <c r="AM29" s="17">
        <f>+SUM(B29:AL29)</f>
        <v>28430</v>
      </c>
    </row>
    <row r="30" spans="1:41" s="17" customFormat="1" ht="16.5" customHeight="1">
      <c r="A30" s="12" t="s">
        <v>18</v>
      </c>
      <c r="B30" s="122">
        <v>11</v>
      </c>
      <c r="C30" s="122">
        <v>11</v>
      </c>
      <c r="D30" s="122">
        <v>11</v>
      </c>
      <c r="E30" s="122">
        <v>11</v>
      </c>
      <c r="F30" s="122">
        <v>8</v>
      </c>
      <c r="G30" s="122">
        <v>8</v>
      </c>
      <c r="H30" s="25"/>
      <c r="I30" s="18">
        <v>11</v>
      </c>
      <c r="J30" s="18">
        <v>11</v>
      </c>
      <c r="K30" s="18">
        <v>11</v>
      </c>
      <c r="L30" s="18">
        <v>11</v>
      </c>
      <c r="M30" s="18">
        <v>8</v>
      </c>
      <c r="N30" s="18">
        <v>8</v>
      </c>
      <c r="O30" s="25"/>
      <c r="P30" s="18">
        <v>9.5</v>
      </c>
      <c r="Q30" s="18">
        <v>9.5</v>
      </c>
      <c r="R30" s="18">
        <v>9.5</v>
      </c>
      <c r="S30" s="18">
        <v>9.5</v>
      </c>
      <c r="T30" s="18">
        <v>9.5</v>
      </c>
      <c r="U30" s="18">
        <v>9.5</v>
      </c>
      <c r="V30" s="25"/>
      <c r="W30" s="18">
        <v>8</v>
      </c>
      <c r="X30" s="18">
        <v>8</v>
      </c>
      <c r="Y30" s="18">
        <v>8</v>
      </c>
      <c r="Z30" s="18">
        <v>8</v>
      </c>
      <c r="AA30" s="18">
        <v>8</v>
      </c>
      <c r="AB30" s="18">
        <v>8</v>
      </c>
      <c r="AC30" s="25"/>
      <c r="AD30" s="18">
        <v>8</v>
      </c>
      <c r="AE30" s="18">
        <v>8</v>
      </c>
      <c r="AF30" s="18">
        <v>8</v>
      </c>
      <c r="AG30" s="18">
        <v>8</v>
      </c>
      <c r="AH30" s="18">
        <v>8</v>
      </c>
      <c r="AI30" s="18">
        <v>8</v>
      </c>
      <c r="AJ30" s="25"/>
      <c r="AK30" s="18">
        <v>8</v>
      </c>
      <c r="AL30" s="18">
        <v>8</v>
      </c>
    </row>
    <row r="31" spans="1:41" s="17" customFormat="1" ht="16.5" customHeight="1">
      <c r="A31" s="2" t="s">
        <v>19</v>
      </c>
      <c r="B31" s="41"/>
      <c r="C31" s="41"/>
      <c r="D31" s="41"/>
      <c r="E31" s="41"/>
      <c r="F31" s="41"/>
      <c r="G31" s="41" t="s">
        <v>218</v>
      </c>
      <c r="H31" s="25"/>
      <c r="I31" s="41"/>
      <c r="J31" s="41"/>
      <c r="K31" s="41"/>
      <c r="L31" s="41"/>
      <c r="M31" s="41" t="s">
        <v>70</v>
      </c>
      <c r="N31" s="41"/>
      <c r="O31" s="25"/>
      <c r="P31" s="41" t="s">
        <v>323</v>
      </c>
      <c r="Q31" s="41"/>
      <c r="R31" s="41"/>
      <c r="S31" s="41"/>
      <c r="T31" s="41"/>
      <c r="U31" s="41"/>
      <c r="V31" s="25"/>
      <c r="W31" s="41"/>
      <c r="X31" s="41"/>
      <c r="Y31" s="41"/>
      <c r="Z31" s="41"/>
      <c r="AA31" s="41"/>
      <c r="AB31" s="41"/>
      <c r="AC31" s="25"/>
      <c r="AD31" s="41"/>
      <c r="AE31" s="41"/>
      <c r="AF31" s="41"/>
      <c r="AG31" s="41"/>
      <c r="AH31" s="41"/>
      <c r="AI31" s="41"/>
      <c r="AJ31" s="25"/>
      <c r="AK31" s="41"/>
      <c r="AL31" s="173"/>
      <c r="AN31" s="11"/>
    </row>
    <row r="32" spans="1:41" s="17" customFormat="1" ht="16.5" customHeight="1">
      <c r="A32" s="2" t="s">
        <v>20</v>
      </c>
      <c r="B32" s="20"/>
      <c r="C32" s="20"/>
      <c r="D32" s="20"/>
      <c r="E32" s="20"/>
      <c r="F32" s="20"/>
      <c r="G32" s="20"/>
      <c r="H32" s="25"/>
      <c r="I32" s="20"/>
      <c r="J32" s="20"/>
      <c r="K32" s="20"/>
      <c r="L32" s="20"/>
      <c r="M32" s="20">
        <v>0.9</v>
      </c>
      <c r="N32" s="20"/>
      <c r="O32" s="25"/>
      <c r="P32" s="20">
        <v>0.9</v>
      </c>
      <c r="Q32" s="20"/>
      <c r="R32" s="20"/>
      <c r="S32" s="20"/>
      <c r="T32" s="20"/>
      <c r="U32" s="20"/>
      <c r="V32" s="25"/>
      <c r="W32" s="20"/>
      <c r="X32" s="20"/>
      <c r="Y32" s="20"/>
      <c r="Z32" s="20"/>
      <c r="AA32" s="20"/>
      <c r="AB32" s="20"/>
      <c r="AC32" s="25"/>
      <c r="AD32" s="20"/>
      <c r="AE32" s="20"/>
      <c r="AF32" s="20"/>
      <c r="AG32" s="20"/>
      <c r="AH32" s="20"/>
      <c r="AI32" s="20"/>
      <c r="AJ32" s="25"/>
      <c r="AK32" s="20"/>
      <c r="AL32" s="60"/>
      <c r="AN32" s="11"/>
    </row>
    <row r="33" spans="1:41" s="17" customFormat="1" ht="14.25" customHeight="1">
      <c r="A33" s="229" t="s">
        <v>26</v>
      </c>
      <c r="B33" s="46"/>
      <c r="C33" s="49"/>
      <c r="D33" s="40"/>
      <c r="F33" s="47"/>
      <c r="G33" s="219" t="s">
        <v>529</v>
      </c>
      <c r="H33" s="48"/>
      <c r="I33" s="40"/>
      <c r="J33" s="84"/>
      <c r="K33" s="84"/>
      <c r="L33" s="84"/>
      <c r="M33" s="52" t="s">
        <v>527</v>
      </c>
      <c r="N33" s="47"/>
      <c r="O33" s="48"/>
      <c r="R33" s="52"/>
      <c r="S33" s="52" t="s">
        <v>364</v>
      </c>
      <c r="U33" s="11"/>
      <c r="V33" s="48"/>
      <c r="X33" s="50"/>
      <c r="Y33" s="47"/>
      <c r="Z33" s="84"/>
      <c r="AA33" s="84"/>
      <c r="AC33" s="48"/>
      <c r="AE33" s="52" t="s">
        <v>364</v>
      </c>
      <c r="AF33" s="84"/>
      <c r="AG33" s="84"/>
      <c r="AH33" s="52"/>
      <c r="AI33" s="47"/>
      <c r="AJ33" s="48"/>
      <c r="AK33" s="62"/>
      <c r="AL33" s="61"/>
      <c r="AM33" s="11"/>
    </row>
    <row r="34" spans="1:41" s="17" customFormat="1" ht="14.25" customHeight="1">
      <c r="A34" s="230"/>
      <c r="B34" s="22"/>
      <c r="C34" s="22"/>
      <c r="D34" s="40"/>
      <c r="E34" s="84"/>
      <c r="F34" s="21"/>
      <c r="G34" s="171" t="s">
        <v>1552</v>
      </c>
      <c r="H34" s="48"/>
      <c r="I34" s="40"/>
      <c r="J34" s="84"/>
      <c r="K34" s="84"/>
      <c r="L34" s="84"/>
      <c r="M34" s="22" t="s">
        <v>528</v>
      </c>
      <c r="N34" s="21"/>
      <c r="O34" s="48"/>
      <c r="P34" s="84"/>
      <c r="Q34" s="84"/>
      <c r="R34" s="84"/>
      <c r="S34" s="172" t="s">
        <v>578</v>
      </c>
      <c r="T34" s="84"/>
      <c r="U34" s="40"/>
      <c r="V34" s="48"/>
      <c r="W34" s="84"/>
      <c r="X34" s="40"/>
      <c r="Y34" s="40"/>
      <c r="Z34" s="84"/>
      <c r="AA34" s="84"/>
      <c r="AB34" s="84"/>
      <c r="AC34" s="48"/>
      <c r="AD34" s="84"/>
      <c r="AE34" s="22" t="s">
        <v>1141</v>
      </c>
      <c r="AF34" s="84"/>
      <c r="AG34" s="84"/>
      <c r="AH34" s="84"/>
      <c r="AI34" s="21"/>
      <c r="AJ34" s="48"/>
      <c r="AK34" s="58"/>
      <c r="AL34" s="61"/>
      <c r="AM34" s="11"/>
    </row>
    <row r="35" spans="1:41" s="11" customFormat="1" ht="14.25" customHeight="1">
      <c r="A35" s="230"/>
      <c r="B35" s="22"/>
      <c r="C35" s="22"/>
      <c r="D35" s="40"/>
      <c r="E35" s="40"/>
      <c r="F35" s="21"/>
      <c r="G35" s="171" t="s">
        <v>1553</v>
      </c>
      <c r="H35" s="48"/>
      <c r="I35" s="40"/>
      <c r="J35" s="40"/>
      <c r="K35" s="40"/>
      <c r="L35" s="40"/>
      <c r="M35" s="22" t="s">
        <v>546</v>
      </c>
      <c r="N35" s="21"/>
      <c r="O35" s="48"/>
      <c r="P35" s="40"/>
      <c r="Q35" s="40"/>
      <c r="R35" s="40"/>
      <c r="S35" s="172" t="s">
        <v>579</v>
      </c>
      <c r="T35" s="40"/>
      <c r="U35" s="40"/>
      <c r="V35" s="48"/>
      <c r="W35" s="40"/>
      <c r="X35" s="52"/>
      <c r="Y35" s="40"/>
      <c r="Z35" s="40"/>
      <c r="AA35" s="40"/>
      <c r="AB35" s="40"/>
      <c r="AC35" s="48"/>
      <c r="AD35" s="40"/>
      <c r="AE35" s="22" t="s">
        <v>1140</v>
      </c>
      <c r="AF35" s="40"/>
      <c r="AG35" s="40"/>
      <c r="AH35" s="40"/>
      <c r="AI35" s="21"/>
      <c r="AJ35" s="48"/>
      <c r="AK35" s="58"/>
      <c r="AL35" s="61"/>
    </row>
    <row r="36" spans="1:41" s="11" customFormat="1" ht="14.25" customHeight="1">
      <c r="A36" s="230"/>
      <c r="B36" s="22"/>
      <c r="C36" s="55"/>
      <c r="D36" s="40"/>
      <c r="E36" s="40"/>
      <c r="F36" s="21"/>
      <c r="G36" s="52" t="s">
        <v>364</v>
      </c>
      <c r="H36" s="48"/>
      <c r="I36" s="40"/>
      <c r="J36" s="40"/>
      <c r="K36" s="40"/>
      <c r="L36" s="40"/>
      <c r="M36" s="22" t="s">
        <v>537</v>
      </c>
      <c r="N36" s="21"/>
      <c r="O36" s="48"/>
      <c r="P36" s="40"/>
      <c r="Q36" s="40"/>
      <c r="R36" s="40"/>
      <c r="S36" s="172" t="s">
        <v>580</v>
      </c>
      <c r="T36" s="40"/>
      <c r="U36" s="40"/>
      <c r="V36" s="48"/>
      <c r="W36" s="40"/>
      <c r="X36" s="40"/>
      <c r="Y36" s="40"/>
      <c r="Z36" s="40"/>
      <c r="AA36" s="40"/>
      <c r="AB36" s="40"/>
      <c r="AC36" s="48"/>
      <c r="AD36" s="40"/>
      <c r="AE36" s="85" t="s">
        <v>590</v>
      </c>
      <c r="AF36" s="40"/>
      <c r="AG36" s="40"/>
      <c r="AH36" s="40"/>
      <c r="AI36" s="21"/>
      <c r="AJ36" s="48"/>
      <c r="AK36" s="58"/>
      <c r="AL36" s="61"/>
      <c r="AO36" s="52"/>
    </row>
    <row r="37" spans="1:41" s="11" customFormat="1" ht="14.25" customHeight="1">
      <c r="A37" s="230"/>
      <c r="B37" s="22"/>
      <c r="C37" s="22"/>
      <c r="D37" s="40"/>
      <c r="E37" s="40"/>
      <c r="F37" s="21"/>
      <c r="G37" s="171" t="s">
        <v>1554</v>
      </c>
      <c r="H37" s="48"/>
      <c r="I37" s="40"/>
      <c r="J37" s="40"/>
      <c r="K37" s="40"/>
      <c r="L37" s="40"/>
      <c r="M37" s="22" t="s">
        <v>538</v>
      </c>
      <c r="N37" s="21"/>
      <c r="O37" s="48"/>
      <c r="P37" s="40"/>
      <c r="Q37" s="40"/>
      <c r="R37" s="40"/>
      <c r="S37" s="22" t="s">
        <v>593</v>
      </c>
      <c r="T37" s="40"/>
      <c r="U37" s="40"/>
      <c r="V37" s="118"/>
      <c r="W37" s="40"/>
      <c r="X37" s="40"/>
      <c r="Y37" s="40"/>
      <c r="Z37" s="40"/>
      <c r="AA37" s="40"/>
      <c r="AB37" s="40"/>
      <c r="AC37" s="48"/>
      <c r="AD37" s="40"/>
      <c r="AE37" s="85" t="s">
        <v>591</v>
      </c>
      <c r="AF37" s="40"/>
      <c r="AG37" s="40"/>
      <c r="AH37" s="40"/>
      <c r="AI37" s="21"/>
      <c r="AJ37" s="48"/>
      <c r="AK37" s="58"/>
      <c r="AL37" s="61"/>
      <c r="AO37" s="22"/>
    </row>
    <row r="38" spans="1:41" s="11" customFormat="1" ht="14.25" customHeight="1">
      <c r="A38" s="230"/>
      <c r="B38" s="22"/>
      <c r="C38" s="22"/>
      <c r="D38" s="40"/>
      <c r="E38" s="40"/>
      <c r="F38" s="21"/>
      <c r="G38" s="171" t="s">
        <v>1555</v>
      </c>
      <c r="H38" s="48"/>
      <c r="I38" s="40"/>
      <c r="J38" s="40"/>
      <c r="K38" s="40"/>
      <c r="L38" s="40"/>
      <c r="M38" s="22" t="s">
        <v>539</v>
      </c>
      <c r="N38" s="21"/>
      <c r="O38" s="48"/>
      <c r="P38" s="40"/>
      <c r="Q38" s="40"/>
      <c r="R38" s="40"/>
      <c r="S38" s="22" t="s">
        <v>1022</v>
      </c>
      <c r="T38" s="40"/>
      <c r="U38" s="40"/>
      <c r="V38" s="48"/>
      <c r="W38" s="40"/>
      <c r="X38" s="40"/>
      <c r="Y38" s="40"/>
      <c r="Z38" s="40"/>
      <c r="AA38" s="40"/>
      <c r="AB38" s="40"/>
      <c r="AC38" s="48"/>
      <c r="AD38" s="40"/>
      <c r="AE38" s="85" t="s">
        <v>592</v>
      </c>
      <c r="AF38" s="40"/>
      <c r="AG38" s="40"/>
      <c r="AH38" s="40"/>
      <c r="AI38" s="21"/>
      <c r="AJ38" s="48"/>
      <c r="AK38" s="58"/>
      <c r="AL38" s="61"/>
    </row>
    <row r="39" spans="1:41" s="11" customFormat="1" ht="14.25" customHeight="1">
      <c r="A39" s="230"/>
      <c r="B39" s="22"/>
      <c r="C39" s="22"/>
      <c r="D39" s="40"/>
      <c r="E39" s="40"/>
      <c r="F39" s="21"/>
      <c r="G39" s="171" t="s">
        <v>1556</v>
      </c>
      <c r="H39" s="48"/>
      <c r="I39" s="40"/>
      <c r="J39" s="40"/>
      <c r="K39" s="40"/>
      <c r="L39" s="40"/>
      <c r="M39" s="22" t="s">
        <v>540</v>
      </c>
      <c r="N39" s="21"/>
      <c r="O39" s="48"/>
      <c r="P39" s="40"/>
      <c r="Q39" s="40"/>
      <c r="R39" s="40"/>
      <c r="S39" s="22" t="s">
        <v>594</v>
      </c>
      <c r="T39" s="40"/>
      <c r="U39" s="40"/>
      <c r="V39" s="48"/>
      <c r="W39" s="40"/>
      <c r="Y39" s="40"/>
      <c r="Z39" s="40"/>
      <c r="AA39" s="40"/>
      <c r="AB39" s="40"/>
      <c r="AC39" s="48"/>
      <c r="AD39" s="40"/>
      <c r="AE39" s="22" t="s">
        <v>587</v>
      </c>
      <c r="AF39" s="40"/>
      <c r="AG39" s="40"/>
      <c r="AH39" s="40"/>
      <c r="AI39" s="21"/>
      <c r="AJ39" s="48"/>
      <c r="AK39" s="58"/>
      <c r="AL39" s="61"/>
    </row>
    <row r="40" spans="1:41" s="11" customFormat="1" ht="14.25" customHeight="1">
      <c r="A40" s="230"/>
      <c r="B40" s="22"/>
      <c r="C40" s="22"/>
      <c r="D40" s="40"/>
      <c r="E40" s="40"/>
      <c r="F40" s="21"/>
      <c r="G40" s="171" t="s">
        <v>1557</v>
      </c>
      <c r="H40" s="48"/>
      <c r="I40" s="40"/>
      <c r="J40" s="40"/>
      <c r="K40" s="40"/>
      <c r="L40" s="40"/>
      <c r="M40" s="22" t="s">
        <v>541</v>
      </c>
      <c r="N40" s="21"/>
      <c r="O40" s="48"/>
      <c r="P40" s="40"/>
      <c r="Q40" s="40"/>
      <c r="R40" s="40"/>
      <c r="S40" s="22" t="s">
        <v>582</v>
      </c>
      <c r="T40" s="40"/>
      <c r="U40" s="40"/>
      <c r="V40" s="48"/>
      <c r="W40" s="40"/>
      <c r="X40" s="40"/>
      <c r="Y40" s="40"/>
      <c r="Z40" s="40"/>
      <c r="AA40" s="40"/>
      <c r="AB40" s="40"/>
      <c r="AC40" s="48"/>
      <c r="AD40" s="40"/>
      <c r="AE40" s="22" t="s">
        <v>588</v>
      </c>
      <c r="AF40" s="40"/>
      <c r="AG40" s="40"/>
      <c r="AH40" s="40"/>
      <c r="AI40" s="21"/>
      <c r="AJ40" s="48"/>
      <c r="AK40" s="58"/>
      <c r="AL40" s="61"/>
    </row>
    <row r="41" spans="1:41" s="11" customFormat="1" ht="14.25" customHeight="1">
      <c r="A41" s="230"/>
      <c r="B41" s="22"/>
      <c r="C41" s="22"/>
      <c r="D41" s="40"/>
      <c r="E41" s="40"/>
      <c r="F41" s="21"/>
      <c r="G41" s="171" t="s">
        <v>1558</v>
      </c>
      <c r="H41" s="48"/>
      <c r="I41" s="40"/>
      <c r="J41" s="40"/>
      <c r="K41" s="40"/>
      <c r="L41" s="40"/>
      <c r="M41" s="22" t="s">
        <v>542</v>
      </c>
      <c r="N41" s="21"/>
      <c r="O41" s="48"/>
      <c r="P41" s="40"/>
      <c r="Q41" s="40"/>
      <c r="R41" s="40"/>
      <c r="S41" s="22" t="s">
        <v>583</v>
      </c>
      <c r="T41" s="40"/>
      <c r="U41" s="40"/>
      <c r="V41" s="48"/>
      <c r="W41" s="40"/>
      <c r="X41" s="40"/>
      <c r="Y41" s="40"/>
      <c r="Z41" s="40"/>
      <c r="AA41" s="40"/>
      <c r="AB41" s="40"/>
      <c r="AC41" s="48"/>
      <c r="AD41" s="40"/>
      <c r="AE41" s="22" t="s">
        <v>589</v>
      </c>
      <c r="AF41" s="40"/>
      <c r="AG41" s="40"/>
      <c r="AH41" s="40"/>
      <c r="AI41" s="21"/>
      <c r="AJ41" s="48"/>
      <c r="AL41" s="61"/>
    </row>
    <row r="42" spans="1:41" s="11" customFormat="1" ht="14.25" customHeight="1">
      <c r="A42" s="230"/>
      <c r="B42" s="22"/>
      <c r="C42" s="22"/>
      <c r="D42" s="40"/>
      <c r="E42" s="203"/>
      <c r="F42" s="21"/>
      <c r="G42" s="171" t="s">
        <v>1559</v>
      </c>
      <c r="H42" s="48"/>
      <c r="I42" s="40"/>
      <c r="J42" s="40"/>
      <c r="K42" s="40"/>
      <c r="L42" s="40"/>
      <c r="M42" s="22" t="s">
        <v>545</v>
      </c>
      <c r="N42" s="21"/>
      <c r="O42" s="48"/>
      <c r="P42" s="40"/>
      <c r="Q42" s="40"/>
      <c r="R42" s="40"/>
      <c r="S42" s="22" t="s">
        <v>584</v>
      </c>
      <c r="T42" s="40"/>
      <c r="U42" s="40"/>
      <c r="V42" s="48"/>
      <c r="W42" s="40"/>
      <c r="X42" s="40"/>
      <c r="Y42" s="40"/>
      <c r="Z42" s="40"/>
      <c r="AA42" s="40"/>
      <c r="AB42" s="40"/>
      <c r="AC42" s="48"/>
      <c r="AD42" s="40"/>
      <c r="AE42" s="22" t="s">
        <v>916</v>
      </c>
      <c r="AF42" s="40"/>
      <c r="AG42" s="40"/>
      <c r="AH42" s="40"/>
      <c r="AI42" s="21"/>
      <c r="AJ42" s="48"/>
      <c r="AK42" s="58"/>
      <c r="AL42" s="61"/>
    </row>
    <row r="43" spans="1:41" s="11" customFormat="1" ht="14.25" customHeight="1">
      <c r="A43" s="230"/>
      <c r="B43" s="91"/>
      <c r="C43" s="22"/>
      <c r="D43" s="40"/>
      <c r="E43" s="40"/>
      <c r="F43" s="21"/>
      <c r="G43" s="171" t="s">
        <v>1560</v>
      </c>
      <c r="H43" s="48"/>
      <c r="I43" s="40"/>
      <c r="J43" s="40"/>
      <c r="K43" s="40"/>
      <c r="L43" s="40"/>
      <c r="M43" s="22" t="s">
        <v>543</v>
      </c>
      <c r="N43" s="21"/>
      <c r="O43" s="48"/>
      <c r="P43" s="40"/>
      <c r="Q43" s="40"/>
      <c r="R43" s="40"/>
      <c r="S43" s="22" t="s">
        <v>1021</v>
      </c>
      <c r="T43" s="40"/>
      <c r="U43" s="40"/>
      <c r="V43" s="48"/>
      <c r="W43" s="40"/>
      <c r="X43" s="40"/>
      <c r="Y43" s="40"/>
      <c r="Z43" s="40"/>
      <c r="AA43" s="40"/>
      <c r="AB43" s="40"/>
      <c r="AC43" s="48"/>
      <c r="AD43" s="40"/>
      <c r="AE43" s="22" t="s">
        <v>917</v>
      </c>
      <c r="AF43" s="40"/>
      <c r="AG43" s="40"/>
      <c r="AH43" s="91"/>
      <c r="AI43" s="21"/>
      <c r="AJ43" s="48"/>
      <c r="AK43" s="156"/>
      <c r="AL43" s="61"/>
    </row>
    <row r="44" spans="1:41" s="11" customFormat="1" ht="14.25" customHeight="1">
      <c r="A44" s="230"/>
      <c r="B44" s="91"/>
      <c r="C44" s="22"/>
      <c r="D44" s="40"/>
      <c r="E44" s="40"/>
      <c r="F44" s="21"/>
      <c r="G44" s="219" t="s">
        <v>529</v>
      </c>
      <c r="H44" s="48"/>
      <c r="I44" s="40"/>
      <c r="J44" s="40"/>
      <c r="K44" s="40"/>
      <c r="L44" s="40"/>
      <c r="M44" s="22" t="s">
        <v>544</v>
      </c>
      <c r="N44" s="21"/>
      <c r="O44" s="48"/>
      <c r="P44" s="40"/>
      <c r="Q44" s="40"/>
      <c r="R44" s="40"/>
      <c r="S44" s="22" t="s">
        <v>1024</v>
      </c>
      <c r="T44" s="40"/>
      <c r="U44" s="40"/>
      <c r="V44" s="48"/>
      <c r="W44" s="40"/>
      <c r="X44" s="40"/>
      <c r="Y44" s="40"/>
      <c r="Z44" s="40"/>
      <c r="AA44" s="40"/>
      <c r="AB44" s="40"/>
      <c r="AC44" s="48"/>
      <c r="AD44" s="40"/>
      <c r="AE44" s="22" t="s">
        <v>1139</v>
      </c>
      <c r="AF44" s="40"/>
      <c r="AG44" s="40"/>
      <c r="AH44" s="91"/>
      <c r="AI44" s="40"/>
      <c r="AJ44" s="231">
        <f>+SUM(B56:AL56)</f>
        <v>29073</v>
      </c>
      <c r="AK44" s="232"/>
      <c r="AL44" s="23" t="s">
        <v>1</v>
      </c>
    </row>
    <row r="45" spans="1:41" s="11" customFormat="1" ht="14.25" customHeight="1">
      <c r="A45" s="230"/>
      <c r="B45" s="91"/>
      <c r="C45" s="22"/>
      <c r="D45" s="40"/>
      <c r="E45" s="40"/>
      <c r="F45" s="21"/>
      <c r="G45" s="171" t="s">
        <v>1564</v>
      </c>
      <c r="H45" s="48"/>
      <c r="I45" s="40"/>
      <c r="J45" s="40"/>
      <c r="K45" s="40"/>
      <c r="L45" s="40"/>
      <c r="M45" s="52" t="s">
        <v>364</v>
      </c>
      <c r="N45" s="21"/>
      <c r="O45" s="48"/>
      <c r="P45" s="40"/>
      <c r="Q45" s="40"/>
      <c r="R45" s="40"/>
      <c r="S45" s="22" t="s">
        <v>1147</v>
      </c>
      <c r="T45" s="40"/>
      <c r="U45" s="21"/>
      <c r="V45" s="48"/>
      <c r="W45" s="40"/>
      <c r="X45" s="40"/>
      <c r="Y45" s="40"/>
      <c r="Z45" s="40"/>
      <c r="AA45" s="40"/>
      <c r="AB45" s="40"/>
      <c r="AC45" s="48"/>
      <c r="AD45" s="40"/>
      <c r="AE45" s="22" t="s">
        <v>1138</v>
      </c>
      <c r="AF45" s="40"/>
      <c r="AG45" s="40"/>
      <c r="AH45" s="91"/>
      <c r="AI45" s="40"/>
      <c r="AJ45" s="48"/>
      <c r="AK45" s="156"/>
      <c r="AL45" s="61"/>
    </row>
    <row r="46" spans="1:41" s="11" customFormat="1" ht="14.25" customHeight="1">
      <c r="A46" s="230"/>
      <c r="B46" s="91"/>
      <c r="C46" s="22"/>
      <c r="D46" s="40"/>
      <c r="E46" s="40"/>
      <c r="F46" s="21"/>
      <c r="G46" s="171" t="s">
        <v>1565</v>
      </c>
      <c r="H46" s="48"/>
      <c r="I46" s="40"/>
      <c r="J46" s="40"/>
      <c r="K46" s="40"/>
      <c r="L46" s="40"/>
      <c r="M46" s="22" t="s">
        <v>570</v>
      </c>
      <c r="N46" s="21"/>
      <c r="O46" s="48"/>
      <c r="P46" s="40"/>
      <c r="Q46" s="40"/>
      <c r="R46" s="40"/>
      <c r="S46" s="22" t="s">
        <v>1148</v>
      </c>
      <c r="T46" s="40"/>
      <c r="U46" s="21"/>
      <c r="V46" s="48"/>
      <c r="W46" s="40"/>
      <c r="X46" s="40"/>
      <c r="Y46" s="40"/>
      <c r="Z46" s="40"/>
      <c r="AA46" s="40"/>
      <c r="AB46" s="40"/>
      <c r="AC46" s="48"/>
      <c r="AD46" s="40"/>
      <c r="AF46" s="40"/>
      <c r="AG46" s="40"/>
      <c r="AH46" s="40"/>
      <c r="AI46" s="40"/>
      <c r="AJ46" s="48"/>
      <c r="AK46" s="156"/>
      <c r="AL46" s="61"/>
    </row>
    <row r="47" spans="1:41" s="11" customFormat="1" ht="14.25" customHeight="1">
      <c r="A47" s="230"/>
      <c r="B47" s="91"/>
      <c r="C47" s="22"/>
      <c r="D47" s="40"/>
      <c r="E47" s="40"/>
      <c r="F47" s="21"/>
      <c r="G47" s="196" t="s">
        <v>1561</v>
      </c>
      <c r="H47" s="48"/>
      <c r="I47" s="40"/>
      <c r="J47" s="40"/>
      <c r="K47" s="40"/>
      <c r="L47" s="40"/>
      <c r="M47" s="22" t="s">
        <v>577</v>
      </c>
      <c r="N47" s="21"/>
      <c r="O47" s="48"/>
      <c r="P47" s="40"/>
      <c r="Q47" s="40"/>
      <c r="R47" s="40"/>
      <c r="S47" s="22" t="s">
        <v>398</v>
      </c>
      <c r="T47" s="40"/>
      <c r="U47" s="21"/>
      <c r="V47" s="48"/>
      <c r="W47" s="40"/>
      <c r="X47" s="40"/>
      <c r="Y47" s="40"/>
      <c r="Z47" s="40"/>
      <c r="AA47" s="40"/>
      <c r="AB47" s="40"/>
      <c r="AC47" s="48"/>
      <c r="AD47" s="40"/>
      <c r="AE47" s="40"/>
      <c r="AF47" s="40"/>
      <c r="AG47" s="40"/>
      <c r="AH47" s="40"/>
      <c r="AI47" s="40"/>
      <c r="AJ47" s="48"/>
      <c r="AK47" s="156"/>
      <c r="AL47" s="61"/>
    </row>
    <row r="48" spans="1:41" s="11" customFormat="1" ht="14.25" customHeight="1">
      <c r="A48" s="230"/>
      <c r="B48" s="91"/>
      <c r="C48" s="40"/>
      <c r="D48" s="40"/>
      <c r="E48" s="40"/>
      <c r="F48" s="21"/>
      <c r="G48" s="196" t="s">
        <v>1562</v>
      </c>
      <c r="H48" s="48"/>
      <c r="I48" s="40"/>
      <c r="J48" s="40"/>
      <c r="K48" s="40"/>
      <c r="L48" s="40"/>
      <c r="M48" s="22" t="s">
        <v>571</v>
      </c>
      <c r="N48" s="21"/>
      <c r="O48" s="48"/>
      <c r="P48" s="40"/>
      <c r="Q48" s="40"/>
      <c r="R48" s="40"/>
      <c r="S48" s="22" t="s">
        <v>399</v>
      </c>
      <c r="T48" s="40"/>
      <c r="U48" s="21"/>
      <c r="V48" s="48"/>
      <c r="W48" s="40"/>
      <c r="X48" s="40"/>
      <c r="Y48" s="40"/>
      <c r="Z48" s="40"/>
      <c r="AA48" s="40"/>
      <c r="AB48" s="40"/>
      <c r="AC48" s="48"/>
      <c r="AD48" s="40"/>
      <c r="AE48" s="40"/>
      <c r="AF48" s="40"/>
      <c r="AG48" s="40"/>
      <c r="AH48" s="91"/>
      <c r="AI48" s="40"/>
      <c r="AJ48" s="48"/>
      <c r="AK48" s="156"/>
      <c r="AL48" s="61"/>
    </row>
    <row r="49" spans="1:40" s="11" customFormat="1" ht="14.25" customHeight="1">
      <c r="A49" s="230"/>
      <c r="B49" s="91"/>
      <c r="C49" s="40"/>
      <c r="D49" s="40"/>
      <c r="E49" s="40"/>
      <c r="F49" s="21"/>
      <c r="G49" s="196" t="s">
        <v>1563</v>
      </c>
      <c r="H49" s="48"/>
      <c r="I49" s="40"/>
      <c r="J49" s="40"/>
      <c r="K49" s="22"/>
      <c r="L49" s="40"/>
      <c r="M49" s="22" t="s">
        <v>572</v>
      </c>
      <c r="N49" s="21"/>
      <c r="O49" s="48"/>
      <c r="P49" s="40"/>
      <c r="Q49" s="40"/>
      <c r="R49" s="40"/>
      <c r="S49" s="40"/>
      <c r="T49" s="40"/>
      <c r="U49" s="21"/>
      <c r="V49" s="48"/>
      <c r="W49" s="40"/>
      <c r="X49" s="40"/>
      <c r="Y49" s="40"/>
      <c r="Z49" s="40"/>
      <c r="AA49" s="40"/>
      <c r="AB49" s="40"/>
      <c r="AC49" s="48"/>
      <c r="AD49" s="40"/>
      <c r="AE49" s="40"/>
      <c r="AF49" s="40"/>
      <c r="AG49" s="40"/>
      <c r="AH49" s="40"/>
      <c r="AI49" s="40"/>
      <c r="AJ49" s="48"/>
      <c r="AK49" s="156"/>
      <c r="AL49" s="61"/>
    </row>
    <row r="50" spans="1:40" s="11" customFormat="1" ht="14.25" customHeight="1">
      <c r="A50" s="230"/>
      <c r="B50" s="91"/>
      <c r="C50" s="40"/>
      <c r="D50" s="40"/>
      <c r="E50" s="40"/>
      <c r="F50" s="21"/>
      <c r="G50" s="195" t="s">
        <v>1365</v>
      </c>
      <c r="H50" s="48"/>
      <c r="I50" s="40"/>
      <c r="J50" s="40"/>
      <c r="K50" s="22"/>
      <c r="L50" s="40"/>
      <c r="M50" s="22" t="s">
        <v>573</v>
      </c>
      <c r="N50" s="21"/>
      <c r="O50" s="48"/>
      <c r="P50" s="40"/>
      <c r="Q50" s="40"/>
      <c r="R50" s="40"/>
      <c r="T50" s="40"/>
      <c r="U50" s="21"/>
      <c r="V50" s="48"/>
      <c r="W50" s="40"/>
      <c r="X50" s="40"/>
      <c r="Y50" s="40"/>
      <c r="Z50" s="40"/>
      <c r="AA50" s="40"/>
      <c r="AB50" s="40"/>
      <c r="AC50" s="48"/>
      <c r="AD50" s="40"/>
      <c r="AE50" s="40"/>
      <c r="AF50" s="40"/>
      <c r="AG50" s="40"/>
      <c r="AH50" s="40"/>
      <c r="AI50" s="40"/>
      <c r="AJ50" s="48"/>
      <c r="AK50" s="156"/>
      <c r="AL50" s="61"/>
    </row>
    <row r="51" spans="1:40" s="11" customFormat="1" ht="14.25" customHeight="1">
      <c r="A51" s="230"/>
      <c r="B51" s="91"/>
      <c r="C51" s="40"/>
      <c r="D51" s="40"/>
      <c r="E51" s="40"/>
      <c r="F51" s="21"/>
      <c r="G51" s="21"/>
      <c r="H51" s="48"/>
      <c r="I51" s="40"/>
      <c r="J51" s="40"/>
      <c r="K51" s="22"/>
      <c r="L51" s="40"/>
      <c r="M51" s="153" t="s">
        <v>1311</v>
      </c>
      <c r="N51" s="21"/>
      <c r="O51" s="48"/>
      <c r="P51" s="40"/>
      <c r="Q51" s="40"/>
      <c r="R51" s="40"/>
      <c r="S51" s="40"/>
      <c r="T51" s="40"/>
      <c r="U51" s="21"/>
      <c r="V51" s="48"/>
      <c r="W51" s="40"/>
      <c r="X51" s="40"/>
      <c r="Y51" s="40"/>
      <c r="Z51" s="22"/>
      <c r="AA51" s="40"/>
      <c r="AB51" s="40"/>
      <c r="AC51" s="48"/>
      <c r="AD51" s="40"/>
      <c r="AE51" s="40"/>
      <c r="AF51" s="40"/>
      <c r="AG51" s="40"/>
      <c r="AH51" s="40"/>
      <c r="AI51" s="40"/>
      <c r="AJ51" s="48"/>
      <c r="AK51" s="156"/>
      <c r="AL51" s="61"/>
    </row>
    <row r="52" spans="1:40" s="11" customFormat="1" ht="14.25" customHeight="1">
      <c r="A52" s="230"/>
      <c r="B52" s="91"/>
      <c r="C52" s="40"/>
      <c r="D52" s="40"/>
      <c r="E52" s="40"/>
      <c r="F52" s="21"/>
      <c r="H52" s="48"/>
      <c r="I52" s="40"/>
      <c r="J52" s="40"/>
      <c r="K52" s="22"/>
      <c r="L52" s="40"/>
      <c r="M52" s="172" t="s">
        <v>1312</v>
      </c>
      <c r="N52" s="21"/>
      <c r="O52" s="48"/>
      <c r="P52" s="40"/>
      <c r="Q52" s="40"/>
      <c r="R52" s="40"/>
      <c r="T52" s="40"/>
      <c r="U52" s="21"/>
      <c r="V52" s="48"/>
      <c r="W52" s="40"/>
      <c r="X52" s="40"/>
      <c r="Y52" s="40"/>
      <c r="Z52" s="40"/>
      <c r="AA52" s="40"/>
      <c r="AB52" s="40"/>
      <c r="AC52" s="48"/>
      <c r="AD52" s="40"/>
      <c r="AE52" s="40"/>
      <c r="AF52" s="40"/>
      <c r="AG52" s="40"/>
      <c r="AH52" s="40"/>
      <c r="AI52" s="40"/>
      <c r="AJ52" s="48"/>
      <c r="AK52" s="156"/>
      <c r="AL52" s="61"/>
    </row>
    <row r="53" spans="1:40" s="11" customFormat="1" ht="14.25" customHeight="1">
      <c r="A53" s="230"/>
      <c r="B53" s="91"/>
      <c r="C53" s="22"/>
      <c r="D53" s="40"/>
      <c r="E53" s="40"/>
      <c r="F53" s="21"/>
      <c r="G53" s="21"/>
      <c r="H53" s="48"/>
      <c r="I53" s="40"/>
      <c r="J53" s="40"/>
      <c r="K53" s="22"/>
      <c r="L53" s="40"/>
      <c r="M53" s="172" t="s">
        <v>574</v>
      </c>
      <c r="N53" s="21"/>
      <c r="O53" s="48"/>
      <c r="P53" s="40"/>
      <c r="Q53" s="40"/>
      <c r="R53" s="40"/>
      <c r="S53" s="40"/>
      <c r="T53" s="40"/>
      <c r="U53" s="21"/>
      <c r="V53" s="48"/>
      <c r="W53" s="40"/>
      <c r="X53" s="40"/>
      <c r="Y53" s="40"/>
      <c r="Z53" s="40"/>
      <c r="AA53" s="40"/>
      <c r="AB53" s="40"/>
      <c r="AC53" s="48"/>
      <c r="AD53" s="40"/>
      <c r="AE53" s="40"/>
      <c r="AF53" s="40"/>
      <c r="AG53" s="40"/>
      <c r="AH53" s="40"/>
      <c r="AI53" s="40"/>
      <c r="AJ53" s="48"/>
      <c r="AK53" s="156"/>
      <c r="AL53" s="61"/>
    </row>
    <row r="54" spans="1:40" s="11" customFormat="1" ht="14.25" customHeight="1">
      <c r="A54" s="230"/>
      <c r="B54" s="91"/>
      <c r="C54" s="22"/>
      <c r="D54" s="40"/>
      <c r="E54" s="40"/>
      <c r="F54" s="21"/>
      <c r="G54" s="21"/>
      <c r="H54" s="48"/>
      <c r="I54" s="40"/>
      <c r="J54" s="40"/>
      <c r="K54" s="22"/>
      <c r="L54" s="40"/>
      <c r="M54" s="172" t="s">
        <v>575</v>
      </c>
      <c r="N54" s="21"/>
      <c r="O54" s="48"/>
      <c r="P54" s="40"/>
      <c r="Q54" s="40"/>
      <c r="R54" s="40"/>
      <c r="S54" s="40"/>
      <c r="T54" s="40"/>
      <c r="U54" s="21"/>
      <c r="V54" s="48"/>
      <c r="W54" s="40"/>
      <c r="X54" s="40"/>
      <c r="Y54" s="40"/>
      <c r="Z54" s="40"/>
      <c r="AA54" s="40"/>
      <c r="AB54" s="40"/>
      <c r="AC54" s="48"/>
      <c r="AD54" s="40"/>
      <c r="AE54" s="40"/>
      <c r="AF54" s="40"/>
      <c r="AG54" s="40"/>
      <c r="AH54" s="40"/>
      <c r="AI54" s="40"/>
      <c r="AJ54" s="48"/>
      <c r="AK54" s="156"/>
      <c r="AL54" s="61"/>
    </row>
    <row r="55" spans="1:40" s="11" customFormat="1" ht="14.25" customHeight="1">
      <c r="A55" s="230"/>
      <c r="B55" s="91"/>
      <c r="C55" s="22"/>
      <c r="D55" s="40"/>
      <c r="E55" s="40"/>
      <c r="F55" s="21"/>
      <c r="G55" s="21"/>
      <c r="H55" s="48"/>
      <c r="I55" s="40"/>
      <c r="J55" s="40"/>
      <c r="K55" s="22"/>
      <c r="L55" s="40"/>
      <c r="M55" s="172" t="s">
        <v>576</v>
      </c>
      <c r="N55" s="21"/>
      <c r="O55" s="48"/>
      <c r="P55" s="40"/>
      <c r="Q55" s="40"/>
      <c r="R55" s="40"/>
      <c r="S55" s="40"/>
      <c r="T55" s="40"/>
      <c r="U55" s="21"/>
      <c r="V55" s="48"/>
      <c r="W55" s="40"/>
      <c r="X55" s="40"/>
      <c r="Y55" s="40"/>
      <c r="Z55" s="40"/>
      <c r="AA55" s="40"/>
      <c r="AB55" s="40"/>
      <c r="AC55" s="48"/>
      <c r="AD55" s="40"/>
      <c r="AE55" s="40"/>
      <c r="AF55" s="40"/>
      <c r="AG55" s="40"/>
      <c r="AH55" s="40"/>
      <c r="AI55" s="40"/>
      <c r="AJ55" s="48"/>
      <c r="AK55" s="156"/>
      <c r="AL55" s="61"/>
    </row>
    <row r="56" spans="1:40" s="11" customFormat="1" ht="16.5" customHeight="1">
      <c r="A56" s="230"/>
      <c r="B56" s="24"/>
      <c r="C56" s="56"/>
      <c r="D56" s="24"/>
      <c r="E56" s="56"/>
      <c r="F56" s="24"/>
      <c r="G56" s="233">
        <f>580+624+310+710+330+267+300+300+370+390+590+169+297+1660+300</f>
        <v>7197</v>
      </c>
      <c r="H56" s="234"/>
      <c r="I56" s="24"/>
      <c r="J56" s="24"/>
      <c r="K56" s="24"/>
      <c r="L56" s="24"/>
      <c r="M56" s="233">
        <f>32+136+110+326+250+9+199+100+2+245+306+13+291+610+461+319+199+306+609+112</f>
        <v>4635</v>
      </c>
      <c r="N56" s="234"/>
      <c r="O56" s="25"/>
      <c r="P56" s="24"/>
      <c r="Q56" s="24"/>
      <c r="R56" s="24"/>
      <c r="S56" s="233">
        <f>13+61+321+2+138+100+140+140+140+403+190+237+4+4739+5005</f>
        <v>11633</v>
      </c>
      <c r="T56" s="234"/>
      <c r="U56" s="24"/>
      <c r="V56" s="25"/>
      <c r="W56" s="24"/>
      <c r="X56" s="56"/>
      <c r="Y56" s="24"/>
      <c r="Z56" s="56"/>
      <c r="AA56" s="56"/>
      <c r="AB56" s="24"/>
      <c r="AC56" s="56"/>
      <c r="AD56" s="242">
        <f>935+1087+411+551+381+115+104+555+253+130+286+800</f>
        <v>5608</v>
      </c>
      <c r="AE56" s="243"/>
      <c r="AF56" s="56"/>
      <c r="AG56" s="56"/>
      <c r="AH56" s="56"/>
      <c r="AI56" s="24"/>
      <c r="AJ56" s="24"/>
      <c r="AK56" s="24"/>
      <c r="AL56" s="64"/>
    </row>
    <row r="57" spans="1:40" s="11" customFormat="1" ht="2.25" customHeight="1">
      <c r="A57" s="26"/>
      <c r="B57" s="27"/>
      <c r="C57" s="27"/>
      <c r="D57" s="27"/>
      <c r="E57" s="28"/>
      <c r="F57" s="27"/>
      <c r="G57" s="27"/>
      <c r="H57" s="29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30"/>
    </row>
    <row r="58" spans="1:40" s="11" customFormat="1" ht="19.5" customHeight="1">
      <c r="A58" s="12" t="s">
        <v>0</v>
      </c>
      <c r="B58" s="16"/>
      <c r="C58" s="16"/>
      <c r="D58" s="16"/>
      <c r="E58" s="16"/>
      <c r="F58" s="16"/>
      <c r="G58" s="16">
        <v>960</v>
      </c>
      <c r="H58" s="25"/>
      <c r="I58" s="16">
        <v>600</v>
      </c>
      <c r="J58" s="16">
        <v>830</v>
      </c>
      <c r="K58" s="16">
        <v>830</v>
      </c>
      <c r="L58" s="16">
        <v>830</v>
      </c>
      <c r="M58" s="68">
        <v>740</v>
      </c>
      <c r="N58" s="16">
        <v>600</v>
      </c>
      <c r="O58" s="25"/>
      <c r="P58" s="16">
        <v>600</v>
      </c>
      <c r="Q58" s="16">
        <v>710</v>
      </c>
      <c r="R58" s="16">
        <v>830</v>
      </c>
      <c r="S58" s="93">
        <v>640</v>
      </c>
      <c r="T58" s="16">
        <v>830</v>
      </c>
      <c r="U58" s="16">
        <v>710</v>
      </c>
      <c r="V58" s="25"/>
      <c r="W58" s="16">
        <v>710</v>
      </c>
      <c r="X58" s="16">
        <v>710</v>
      </c>
      <c r="Y58" s="16">
        <v>710</v>
      </c>
      <c r="Z58" s="16">
        <v>710</v>
      </c>
      <c r="AA58" s="16">
        <v>710</v>
      </c>
      <c r="AB58" s="16">
        <v>710</v>
      </c>
      <c r="AC58" s="25"/>
      <c r="AD58" s="16">
        <v>710</v>
      </c>
      <c r="AE58" s="16">
        <v>710</v>
      </c>
      <c r="AF58" s="16">
        <v>710</v>
      </c>
      <c r="AG58" s="16">
        <v>710</v>
      </c>
      <c r="AH58" s="51">
        <v>710</v>
      </c>
      <c r="AI58" s="16">
        <v>600</v>
      </c>
      <c r="AJ58" s="25"/>
      <c r="AK58" s="16">
        <v>600</v>
      </c>
      <c r="AL58" s="16"/>
      <c r="AM58" s="17">
        <f>+SUM(B58:AL58)</f>
        <v>18720</v>
      </c>
    </row>
    <row r="59" spans="1:40" s="17" customFormat="1" ht="16.5" customHeight="1">
      <c r="A59" s="12" t="s">
        <v>18</v>
      </c>
      <c r="B59" s="122">
        <v>11</v>
      </c>
      <c r="C59" s="122">
        <v>11</v>
      </c>
      <c r="D59" s="122">
        <v>11</v>
      </c>
      <c r="E59" s="122">
        <v>11</v>
      </c>
      <c r="F59" s="122">
        <v>8</v>
      </c>
      <c r="G59" s="122">
        <v>8</v>
      </c>
      <c r="H59" s="25"/>
      <c r="I59" s="18">
        <v>11</v>
      </c>
      <c r="J59" s="18">
        <v>11</v>
      </c>
      <c r="K59" s="18">
        <v>11</v>
      </c>
      <c r="L59" s="18">
        <v>11</v>
      </c>
      <c r="M59" s="18">
        <v>8</v>
      </c>
      <c r="N59" s="18">
        <v>8</v>
      </c>
      <c r="O59" s="25"/>
      <c r="P59" s="18">
        <v>9.5</v>
      </c>
      <c r="Q59" s="18">
        <v>11</v>
      </c>
      <c r="R59" s="18">
        <v>9.5</v>
      </c>
      <c r="S59" s="18">
        <v>11</v>
      </c>
      <c r="T59" s="18">
        <v>9.5</v>
      </c>
      <c r="U59" s="18">
        <v>9.5</v>
      </c>
      <c r="V59" s="25"/>
      <c r="W59" s="192">
        <v>9.5</v>
      </c>
      <c r="X59" s="192">
        <v>9.5</v>
      </c>
      <c r="Y59" s="192">
        <v>9.5</v>
      </c>
      <c r="Z59" s="192">
        <v>9.5</v>
      </c>
      <c r="AA59" s="192">
        <v>9.5</v>
      </c>
      <c r="AB59" s="192">
        <v>9.5</v>
      </c>
      <c r="AC59" s="193"/>
      <c r="AD59" s="192">
        <v>9.5</v>
      </c>
      <c r="AE59" s="192">
        <v>9.5</v>
      </c>
      <c r="AF59" s="192">
        <v>9.5</v>
      </c>
      <c r="AG59" s="192">
        <v>9.5</v>
      </c>
      <c r="AH59" s="192">
        <v>8</v>
      </c>
      <c r="AI59" s="18">
        <v>8</v>
      </c>
      <c r="AJ59" s="25"/>
      <c r="AK59" s="18">
        <v>8</v>
      </c>
      <c r="AL59" s="18"/>
    </row>
    <row r="60" spans="1:40" s="17" customFormat="1" ht="17.25" customHeight="1">
      <c r="A60" s="2" t="s">
        <v>19</v>
      </c>
      <c r="B60" s="41"/>
      <c r="C60" s="41"/>
      <c r="D60" s="41"/>
      <c r="E60" s="41"/>
      <c r="F60" s="41"/>
      <c r="G60" s="121" t="s">
        <v>512</v>
      </c>
      <c r="H60" s="25"/>
      <c r="I60" s="121" t="s">
        <v>294</v>
      </c>
      <c r="J60" s="41"/>
      <c r="K60" s="41"/>
      <c r="L60" s="41"/>
      <c r="M60" s="121" t="s">
        <v>294</v>
      </c>
      <c r="N60" s="41"/>
      <c r="O60" s="25"/>
      <c r="P60" s="41"/>
      <c r="Q60" s="41"/>
      <c r="R60" s="41"/>
      <c r="S60" s="121" t="s">
        <v>294</v>
      </c>
      <c r="T60" s="41"/>
      <c r="U60" s="41"/>
      <c r="V60" s="25"/>
      <c r="W60" s="41"/>
      <c r="X60" s="41"/>
      <c r="Y60" s="41"/>
      <c r="Z60" s="41"/>
      <c r="AA60" s="41"/>
      <c r="AB60" s="41"/>
      <c r="AC60" s="25"/>
      <c r="AD60" s="41"/>
      <c r="AE60" s="41"/>
      <c r="AF60" s="41"/>
      <c r="AG60" s="41"/>
      <c r="AH60" s="41"/>
      <c r="AI60" s="41"/>
      <c r="AJ60" s="25"/>
      <c r="AK60" s="41"/>
      <c r="AL60" s="173"/>
    </row>
    <row r="61" spans="1:40" s="17" customFormat="1" ht="17.25" customHeight="1">
      <c r="A61" s="2" t="s">
        <v>20</v>
      </c>
      <c r="B61" s="20"/>
      <c r="C61" s="20"/>
      <c r="D61" s="20"/>
      <c r="E61" s="20"/>
      <c r="F61" s="20"/>
      <c r="G61" s="20"/>
      <c r="H61" s="25"/>
      <c r="I61" s="20"/>
      <c r="J61" s="20"/>
      <c r="K61" s="20"/>
      <c r="L61" s="20"/>
      <c r="M61" s="20">
        <v>0.9</v>
      </c>
      <c r="N61" s="20"/>
      <c r="O61" s="25"/>
      <c r="P61" s="20"/>
      <c r="Q61" s="20"/>
      <c r="R61" s="20"/>
      <c r="S61" s="20">
        <v>0.9</v>
      </c>
      <c r="T61" s="20"/>
      <c r="U61" s="20"/>
      <c r="V61" s="25"/>
      <c r="W61" s="20"/>
      <c r="X61" s="20"/>
      <c r="Y61" s="20"/>
      <c r="Z61" s="20"/>
      <c r="AA61" s="20"/>
      <c r="AB61" s="20"/>
      <c r="AC61" s="25"/>
      <c r="AD61" s="20"/>
      <c r="AE61" s="20"/>
      <c r="AF61" s="20"/>
      <c r="AG61" s="20"/>
      <c r="AH61" s="20"/>
      <c r="AI61" s="20"/>
      <c r="AJ61" s="25"/>
      <c r="AK61" s="20"/>
      <c r="AL61" s="60"/>
    </row>
    <row r="62" spans="1:40" s="11" customFormat="1" ht="13.5" customHeight="1">
      <c r="A62" s="229" t="s">
        <v>27</v>
      </c>
      <c r="B62" s="46"/>
      <c r="C62" s="49"/>
      <c r="D62" s="40"/>
      <c r="E62" s="47"/>
      <c r="F62" s="47"/>
      <c r="G62" s="216" t="s">
        <v>852</v>
      </c>
      <c r="H62" s="48"/>
      <c r="I62" s="40"/>
      <c r="J62" s="47"/>
      <c r="K62" s="50"/>
      <c r="L62" s="40"/>
      <c r="M62" s="50" t="s">
        <v>201</v>
      </c>
      <c r="O62" s="48"/>
      <c r="P62" s="40"/>
      <c r="Q62" s="40"/>
      <c r="R62" s="40"/>
      <c r="S62" s="54" t="s">
        <v>352</v>
      </c>
      <c r="T62" s="40"/>
      <c r="U62" s="40"/>
      <c r="V62" s="48"/>
      <c r="W62" s="40"/>
      <c r="X62" s="40"/>
      <c r="Y62" s="40"/>
      <c r="Z62" s="40"/>
      <c r="AA62" s="40"/>
      <c r="AC62" s="48"/>
      <c r="AF62" s="40"/>
      <c r="AH62" s="54" t="s">
        <v>352</v>
      </c>
      <c r="AJ62" s="48"/>
      <c r="AK62" s="62"/>
      <c r="AL62" s="61"/>
    </row>
    <row r="63" spans="1:40" s="11" customFormat="1" ht="13.5" customHeight="1">
      <c r="A63" s="230"/>
      <c r="B63" s="22"/>
      <c r="C63" s="22"/>
      <c r="D63" s="40"/>
      <c r="E63" s="21"/>
      <c r="F63" s="21"/>
      <c r="G63" s="171" t="s">
        <v>1446</v>
      </c>
      <c r="H63" s="48"/>
      <c r="I63" s="40"/>
      <c r="J63" s="21"/>
      <c r="K63" s="22"/>
      <c r="L63" s="40"/>
      <c r="M63" s="22" t="s">
        <v>202</v>
      </c>
      <c r="N63" s="40"/>
      <c r="O63" s="48"/>
      <c r="P63" s="40"/>
      <c r="Q63" s="40"/>
      <c r="R63" s="40"/>
      <c r="S63" s="163" t="s">
        <v>939</v>
      </c>
      <c r="T63" s="40"/>
      <c r="U63" s="40"/>
      <c r="V63" s="48"/>
      <c r="W63" s="40"/>
      <c r="X63" s="40"/>
      <c r="Y63" s="40"/>
      <c r="Z63" s="40"/>
      <c r="AA63" s="40"/>
      <c r="AB63" s="40"/>
      <c r="AC63" s="48"/>
      <c r="AD63" s="40"/>
      <c r="AE63" s="40"/>
      <c r="AF63" s="40"/>
      <c r="AG63" s="40"/>
      <c r="AH63" s="96" t="s">
        <v>1054</v>
      </c>
      <c r="AI63" s="40"/>
      <c r="AJ63" s="48"/>
      <c r="AK63" s="58"/>
      <c r="AL63" s="61"/>
    </row>
    <row r="64" spans="1:40" s="11" customFormat="1" ht="13.5" customHeight="1">
      <c r="A64" s="230"/>
      <c r="B64" s="22"/>
      <c r="C64" s="22"/>
      <c r="D64" s="40"/>
      <c r="E64" s="21"/>
      <c r="F64" s="21"/>
      <c r="G64" s="213" t="s">
        <v>1384</v>
      </c>
      <c r="H64" s="48"/>
      <c r="I64" s="40"/>
      <c r="J64" s="21"/>
      <c r="K64" s="22"/>
      <c r="L64" s="40"/>
      <c r="M64" s="22" t="s">
        <v>209</v>
      </c>
      <c r="N64" s="40"/>
      <c r="O64" s="48"/>
      <c r="P64" s="40"/>
      <c r="Q64" s="40"/>
      <c r="R64" s="40"/>
      <c r="S64" s="221" t="s">
        <v>1570</v>
      </c>
      <c r="T64" s="40"/>
      <c r="U64" s="40"/>
      <c r="V64" s="48"/>
      <c r="W64" s="40"/>
      <c r="X64" s="40"/>
      <c r="Y64" s="40"/>
      <c r="Z64" s="40"/>
      <c r="AA64" s="40"/>
      <c r="AB64" s="40"/>
      <c r="AC64" s="48"/>
      <c r="AD64" s="40"/>
      <c r="AE64" s="40"/>
      <c r="AF64" s="40"/>
      <c r="AG64" s="40"/>
      <c r="AH64" s="96" t="s">
        <v>1055</v>
      </c>
      <c r="AI64" s="40"/>
      <c r="AJ64" s="48"/>
      <c r="AK64" s="58"/>
      <c r="AL64" s="61"/>
      <c r="AN64" s="52"/>
    </row>
    <row r="65" spans="1:40" s="11" customFormat="1" ht="13.5" customHeight="1">
      <c r="A65" s="230"/>
      <c r="B65" s="22"/>
      <c r="C65" s="55"/>
      <c r="D65" s="40"/>
      <c r="E65" s="21"/>
      <c r="F65" s="21"/>
      <c r="G65" s="171" t="s">
        <v>1445</v>
      </c>
      <c r="H65" s="48"/>
      <c r="I65" s="40"/>
      <c r="J65" s="21"/>
      <c r="K65" s="22"/>
      <c r="L65" s="40"/>
      <c r="M65" s="22" t="s">
        <v>210</v>
      </c>
      <c r="N65" s="40"/>
      <c r="O65" s="48"/>
      <c r="P65" s="40"/>
      <c r="Q65" s="40"/>
      <c r="R65" s="40"/>
      <c r="S65" s="96" t="s">
        <v>999</v>
      </c>
      <c r="T65" s="40"/>
      <c r="U65" s="40"/>
      <c r="V65" s="48"/>
      <c r="W65" s="40"/>
      <c r="X65" s="40"/>
      <c r="Y65" s="40"/>
      <c r="Z65" s="40"/>
      <c r="AA65" s="40"/>
      <c r="AB65" s="40"/>
      <c r="AC65" s="48"/>
      <c r="AD65" s="40"/>
      <c r="AE65" s="40"/>
      <c r="AF65" s="40"/>
      <c r="AG65" s="40"/>
      <c r="AH65" s="105"/>
      <c r="AI65" s="40"/>
      <c r="AJ65" s="48"/>
      <c r="AK65" s="58"/>
      <c r="AL65" s="61"/>
      <c r="AN65" s="186"/>
    </row>
    <row r="66" spans="1:40" s="11" customFormat="1" ht="13.5" customHeight="1">
      <c r="A66" s="230"/>
      <c r="B66" s="22"/>
      <c r="C66" s="22"/>
      <c r="D66" s="40"/>
      <c r="E66" s="21"/>
      <c r="F66" s="21"/>
      <c r="G66" s="171" t="s">
        <v>1444</v>
      </c>
      <c r="H66" s="48"/>
      <c r="I66" s="40"/>
      <c r="J66" s="21"/>
      <c r="K66" s="53"/>
      <c r="L66" s="40"/>
      <c r="M66" s="22" t="s">
        <v>211</v>
      </c>
      <c r="N66" s="40"/>
      <c r="O66" s="48"/>
      <c r="P66" s="40"/>
      <c r="Q66" s="40"/>
      <c r="R66" s="40"/>
      <c r="S66" s="100" t="s">
        <v>1568</v>
      </c>
      <c r="T66" s="40"/>
      <c r="U66" s="40"/>
      <c r="V66" s="48"/>
      <c r="W66" s="40"/>
      <c r="X66" s="40"/>
      <c r="Y66" s="40"/>
      <c r="Z66" s="40"/>
      <c r="AA66" s="40"/>
      <c r="AB66" s="40"/>
      <c r="AC66" s="48"/>
      <c r="AD66" s="40"/>
      <c r="AE66" s="40"/>
      <c r="AF66" s="40"/>
      <c r="AG66" s="40"/>
      <c r="AH66" s="21"/>
      <c r="AI66" s="40"/>
      <c r="AJ66" s="48"/>
      <c r="AK66" s="58"/>
      <c r="AL66" s="61"/>
      <c r="AN66" s="105"/>
    </row>
    <row r="67" spans="1:40" s="11" customFormat="1" ht="13.5" customHeight="1">
      <c r="A67" s="230"/>
      <c r="B67" s="22"/>
      <c r="C67" s="22"/>
      <c r="D67" s="40"/>
      <c r="E67" s="21"/>
      <c r="F67" s="21"/>
      <c r="G67" s="195" t="s">
        <v>1365</v>
      </c>
      <c r="H67" s="48"/>
      <c r="I67" s="40"/>
      <c r="J67" s="21"/>
      <c r="K67" s="53"/>
      <c r="L67" s="40"/>
      <c r="M67" s="22" t="s">
        <v>212</v>
      </c>
      <c r="N67" s="40"/>
      <c r="O67" s="48"/>
      <c r="P67" s="40"/>
      <c r="Q67" s="40"/>
      <c r="R67" s="40"/>
      <c r="S67" s="213" t="s">
        <v>1268</v>
      </c>
      <c r="T67" s="40"/>
      <c r="U67" s="40"/>
      <c r="V67" s="48"/>
      <c r="W67" s="40"/>
      <c r="X67" s="40"/>
      <c r="Y67" s="40"/>
      <c r="Z67" s="40"/>
      <c r="AA67" s="40"/>
      <c r="AB67" s="40"/>
      <c r="AC67" s="48"/>
      <c r="AD67" s="40"/>
      <c r="AE67" s="40"/>
      <c r="AF67" s="40"/>
      <c r="AG67" s="40"/>
      <c r="AH67" s="40"/>
      <c r="AI67" s="40"/>
      <c r="AJ67" s="48"/>
      <c r="AK67" s="58"/>
      <c r="AL67" s="61"/>
    </row>
    <row r="68" spans="1:40" s="11" customFormat="1" ht="13.5" customHeight="1">
      <c r="A68" s="230"/>
      <c r="B68" s="22"/>
      <c r="C68" s="22"/>
      <c r="D68" s="40"/>
      <c r="E68" s="40"/>
      <c r="F68" s="21"/>
      <c r="G68" s="21"/>
      <c r="H68" s="48"/>
      <c r="I68" s="40"/>
      <c r="J68" s="21"/>
      <c r="K68" s="53"/>
      <c r="L68" s="40"/>
      <c r="M68" s="22" t="s">
        <v>213</v>
      </c>
      <c r="N68" s="40"/>
      <c r="O68" s="48"/>
      <c r="P68" s="40"/>
      <c r="Q68" s="40"/>
      <c r="R68" s="40"/>
      <c r="S68" s="40"/>
      <c r="T68" s="40"/>
      <c r="U68" s="40"/>
      <c r="V68" s="48"/>
      <c r="W68" s="40"/>
      <c r="X68" s="40"/>
      <c r="Y68" s="40"/>
      <c r="Z68" s="40"/>
      <c r="AA68" s="40"/>
      <c r="AB68" s="50"/>
      <c r="AC68" s="48"/>
      <c r="AD68" s="40"/>
      <c r="AE68" s="40"/>
      <c r="AF68" s="40"/>
      <c r="AG68" s="40"/>
      <c r="AH68" s="21"/>
      <c r="AI68" s="21"/>
      <c r="AJ68" s="48"/>
      <c r="AK68" s="58"/>
      <c r="AL68" s="61"/>
    </row>
    <row r="69" spans="1:40" s="11" customFormat="1" ht="13.5" customHeight="1">
      <c r="A69" s="230"/>
      <c r="B69" s="22"/>
      <c r="C69" s="22"/>
      <c r="D69" s="40"/>
      <c r="E69" s="203"/>
      <c r="F69" s="21"/>
      <c r="G69" s="21"/>
      <c r="H69" s="48"/>
      <c r="I69" s="40"/>
      <c r="J69" s="21"/>
      <c r="K69" s="22"/>
      <c r="L69" s="40"/>
      <c r="M69" s="22" t="s">
        <v>214</v>
      </c>
      <c r="N69" s="40"/>
      <c r="O69" s="48"/>
      <c r="P69" s="40"/>
      <c r="Q69" s="40"/>
      <c r="R69" s="40"/>
      <c r="S69" s="40"/>
      <c r="T69" s="40"/>
      <c r="U69" s="40"/>
      <c r="V69" s="48"/>
      <c r="W69" s="40"/>
      <c r="X69" s="40"/>
      <c r="Y69" s="40"/>
      <c r="Z69" s="40"/>
      <c r="AA69" s="52"/>
      <c r="AB69" s="40"/>
      <c r="AC69" s="48"/>
      <c r="AD69" s="40"/>
      <c r="AE69" s="40"/>
      <c r="AF69" s="40"/>
      <c r="AG69" s="40"/>
      <c r="AH69" s="22"/>
      <c r="AI69" s="21"/>
      <c r="AJ69" s="48"/>
      <c r="AK69" s="58"/>
      <c r="AL69" s="61"/>
    </row>
    <row r="70" spans="1:40" s="11" customFormat="1" ht="13.5" customHeight="1">
      <c r="A70" s="230"/>
      <c r="B70" s="22"/>
      <c r="C70" s="22"/>
      <c r="D70" s="22"/>
      <c r="E70" s="40"/>
      <c r="F70" s="22"/>
      <c r="G70" s="21"/>
      <c r="H70" s="48"/>
      <c r="I70" s="40"/>
      <c r="J70" s="21"/>
      <c r="K70" s="22"/>
      <c r="L70" s="40"/>
      <c r="M70" s="22" t="s">
        <v>203</v>
      </c>
      <c r="N70" s="40"/>
      <c r="O70" s="48"/>
      <c r="P70" s="40"/>
      <c r="Q70" s="40"/>
      <c r="R70" s="40"/>
      <c r="S70" s="40"/>
      <c r="T70" s="40"/>
      <c r="U70" s="40"/>
      <c r="V70" s="48"/>
      <c r="W70" s="40"/>
      <c r="X70" s="40"/>
      <c r="Y70" s="40"/>
      <c r="Z70" s="40"/>
      <c r="AA70" s="40"/>
      <c r="AB70" s="40"/>
      <c r="AC70" s="48"/>
      <c r="AD70" s="40"/>
      <c r="AE70" s="40"/>
      <c r="AF70" s="40"/>
      <c r="AG70" s="40"/>
      <c r="AH70" s="22"/>
      <c r="AI70" s="21"/>
      <c r="AJ70" s="231">
        <f>+SUM(B79:AL79)</f>
        <v>18246</v>
      </c>
      <c r="AK70" s="232"/>
      <c r="AL70" s="23" t="s">
        <v>1</v>
      </c>
    </row>
    <row r="71" spans="1:40" s="11" customFormat="1" ht="13.5" customHeight="1">
      <c r="A71" s="230"/>
      <c r="B71" s="22"/>
      <c r="C71" s="22"/>
      <c r="D71" s="22"/>
      <c r="E71" s="40"/>
      <c r="F71" s="22"/>
      <c r="G71" s="21"/>
      <c r="H71" s="48"/>
      <c r="I71" s="40"/>
      <c r="J71" s="21"/>
      <c r="K71" s="22"/>
      <c r="L71" s="40"/>
      <c r="M71" s="22" t="s">
        <v>204</v>
      </c>
      <c r="N71" s="40"/>
      <c r="O71" s="48"/>
      <c r="P71" s="40"/>
      <c r="Q71" s="40"/>
      <c r="R71" s="40"/>
      <c r="S71" s="40"/>
      <c r="T71" s="40"/>
      <c r="U71" s="40"/>
      <c r="V71" s="48"/>
      <c r="W71" s="40"/>
      <c r="X71" s="40"/>
      <c r="Y71" s="54"/>
      <c r="Z71" s="40"/>
      <c r="AA71" s="40"/>
      <c r="AB71" s="40"/>
      <c r="AC71" s="48"/>
      <c r="AD71" s="40"/>
      <c r="AE71" s="40"/>
      <c r="AF71" s="40"/>
      <c r="AG71" s="21"/>
      <c r="AH71" s="22"/>
      <c r="AI71" s="21"/>
      <c r="AJ71" s="48"/>
      <c r="AK71" s="58"/>
      <c r="AL71" s="61"/>
    </row>
    <row r="72" spans="1:40" s="11" customFormat="1" ht="13.5" customHeight="1">
      <c r="A72" s="230"/>
      <c r="B72" s="22"/>
      <c r="C72" s="22"/>
      <c r="D72" s="22"/>
      <c r="E72" s="40"/>
      <c r="F72" s="22"/>
      <c r="G72" s="21"/>
      <c r="H72" s="48"/>
      <c r="I72" s="40"/>
      <c r="J72" s="21"/>
      <c r="K72" s="22"/>
      <c r="L72" s="40"/>
      <c r="M72" s="22" t="s">
        <v>205</v>
      </c>
      <c r="N72" s="40"/>
      <c r="O72" s="48"/>
      <c r="P72" s="40"/>
      <c r="Q72" s="40"/>
      <c r="R72" s="40"/>
      <c r="S72" s="40"/>
      <c r="T72" s="40"/>
      <c r="U72" s="40"/>
      <c r="V72" s="48"/>
      <c r="W72" s="40"/>
      <c r="X72" s="40"/>
      <c r="Y72" s="40"/>
      <c r="Z72" s="40"/>
      <c r="AA72" s="40"/>
      <c r="AB72" s="40"/>
      <c r="AC72" s="48"/>
      <c r="AD72" s="40"/>
      <c r="AE72" s="40"/>
      <c r="AF72" s="40"/>
      <c r="AG72" s="21"/>
      <c r="AH72" s="22"/>
      <c r="AI72" s="21"/>
      <c r="AJ72" s="48"/>
      <c r="AK72" s="58"/>
      <c r="AL72" s="61"/>
    </row>
    <row r="73" spans="1:40" s="11" customFormat="1" ht="13.5" customHeight="1">
      <c r="A73" s="230"/>
      <c r="B73" s="22"/>
      <c r="C73" s="22"/>
      <c r="D73" s="22"/>
      <c r="E73" s="40"/>
      <c r="F73" s="22"/>
      <c r="G73" s="21"/>
      <c r="H73" s="48"/>
      <c r="I73" s="40"/>
      <c r="J73" s="21"/>
      <c r="K73" s="22"/>
      <c r="L73" s="40"/>
      <c r="M73" s="22" t="s">
        <v>206</v>
      </c>
      <c r="N73" s="40"/>
      <c r="O73" s="48"/>
      <c r="P73" s="40"/>
      <c r="Q73" s="40"/>
      <c r="R73" s="40"/>
      <c r="S73" s="40"/>
      <c r="T73" s="40"/>
      <c r="U73" s="40"/>
      <c r="V73" s="48"/>
      <c r="W73" s="40"/>
      <c r="X73" s="40"/>
      <c r="Y73" s="40"/>
      <c r="Z73" s="40"/>
      <c r="AA73" s="40"/>
      <c r="AB73" s="40"/>
      <c r="AC73" s="48"/>
      <c r="AD73" s="40"/>
      <c r="AE73" s="40"/>
      <c r="AF73" s="40"/>
      <c r="AG73" s="21"/>
      <c r="AH73" s="22"/>
      <c r="AI73" s="21"/>
      <c r="AJ73" s="48"/>
      <c r="AK73" s="58"/>
      <c r="AL73" s="61"/>
    </row>
    <row r="74" spans="1:40" s="11" customFormat="1" ht="13.5" customHeight="1">
      <c r="A74" s="230"/>
      <c r="B74" s="22"/>
      <c r="C74" s="22"/>
      <c r="D74" s="22"/>
      <c r="E74" s="40"/>
      <c r="F74" s="22"/>
      <c r="G74" s="21"/>
      <c r="H74" s="48"/>
      <c r="I74" s="40"/>
      <c r="J74" s="21"/>
      <c r="K74" s="22"/>
      <c r="L74" s="40"/>
      <c r="M74" s="22" t="s">
        <v>207</v>
      </c>
      <c r="N74" s="40"/>
      <c r="O74" s="48"/>
      <c r="P74" s="40"/>
      <c r="Q74" s="40"/>
      <c r="R74" s="40"/>
      <c r="S74" s="40"/>
      <c r="T74" s="40"/>
      <c r="U74" s="40"/>
      <c r="V74" s="48"/>
      <c r="W74" s="40"/>
      <c r="X74" s="40"/>
      <c r="Y74" s="40"/>
      <c r="Z74" s="40"/>
      <c r="AA74" s="40"/>
      <c r="AB74" s="40"/>
      <c r="AC74" s="48"/>
      <c r="AD74" s="40"/>
      <c r="AE74" s="40"/>
      <c r="AF74" s="40"/>
      <c r="AG74" s="21"/>
      <c r="AH74" s="22"/>
      <c r="AI74" s="21"/>
      <c r="AJ74" s="48"/>
      <c r="AK74" s="58"/>
      <c r="AL74" s="61"/>
    </row>
    <row r="75" spans="1:40" s="11" customFormat="1" ht="13.5" customHeight="1">
      <c r="A75" s="230"/>
      <c r="B75" s="22"/>
      <c r="C75" s="22"/>
      <c r="D75" s="22"/>
      <c r="E75" s="40"/>
      <c r="F75" s="22"/>
      <c r="G75" s="21"/>
      <c r="H75" s="48"/>
      <c r="I75" s="40"/>
      <c r="J75" s="21"/>
      <c r="K75" s="22"/>
      <c r="L75" s="40"/>
      <c r="M75" s="22" t="s">
        <v>208</v>
      </c>
      <c r="N75" s="40"/>
      <c r="O75" s="48"/>
      <c r="P75" s="40"/>
      <c r="Q75" s="40"/>
      <c r="R75" s="40"/>
      <c r="S75" s="40"/>
      <c r="T75" s="40"/>
      <c r="U75" s="40"/>
      <c r="V75" s="48"/>
      <c r="W75" s="40"/>
      <c r="X75" s="40"/>
      <c r="Y75" s="40"/>
      <c r="Z75" s="40"/>
      <c r="AA75" s="40"/>
      <c r="AB75" s="40"/>
      <c r="AC75" s="48"/>
      <c r="AD75" s="40"/>
      <c r="AE75" s="40"/>
      <c r="AF75" s="40"/>
      <c r="AG75" s="21"/>
      <c r="AH75" s="22"/>
      <c r="AI75" s="21"/>
      <c r="AJ75" s="48"/>
      <c r="AK75" s="58"/>
      <c r="AL75" s="61"/>
    </row>
    <row r="76" spans="1:40" s="11" customFormat="1" ht="13.5" customHeight="1">
      <c r="A76" s="230"/>
      <c r="B76" s="22"/>
      <c r="C76" s="22"/>
      <c r="D76" s="22"/>
      <c r="E76" s="22"/>
      <c r="F76" s="22"/>
      <c r="G76" s="21"/>
      <c r="H76" s="48"/>
      <c r="I76" s="40"/>
      <c r="J76" s="21"/>
      <c r="K76" s="53"/>
      <c r="L76" s="40"/>
      <c r="M76" s="22" t="s">
        <v>217</v>
      </c>
      <c r="N76" s="40"/>
      <c r="O76" s="48"/>
      <c r="P76" s="40"/>
      <c r="Q76" s="40"/>
      <c r="R76" s="40"/>
      <c r="S76" s="40"/>
      <c r="T76" s="40"/>
      <c r="U76" s="40"/>
      <c r="V76" s="48"/>
      <c r="W76" s="21"/>
      <c r="X76" s="40"/>
      <c r="Y76" s="40"/>
      <c r="Z76" s="40"/>
      <c r="AA76" s="40"/>
      <c r="AB76" s="40"/>
      <c r="AC76" s="48"/>
      <c r="AD76" s="40"/>
      <c r="AE76" s="40"/>
      <c r="AF76" s="40"/>
      <c r="AG76" s="21"/>
      <c r="AH76" s="40"/>
      <c r="AI76" s="21"/>
      <c r="AJ76" s="48"/>
      <c r="AL76" s="61"/>
    </row>
    <row r="77" spans="1:40" s="11" customFormat="1" ht="13.5" customHeight="1">
      <c r="A77" s="230"/>
      <c r="B77" s="22"/>
      <c r="C77" s="22"/>
      <c r="D77" s="22"/>
      <c r="E77" s="22"/>
      <c r="F77" s="22"/>
      <c r="G77" s="21"/>
      <c r="H77" s="48"/>
      <c r="I77" s="40"/>
      <c r="J77" s="21"/>
      <c r="K77" s="53"/>
      <c r="L77" s="40"/>
      <c r="M77" s="22" t="s">
        <v>215</v>
      </c>
      <c r="N77" s="40"/>
      <c r="O77" s="48"/>
      <c r="P77" s="40"/>
      <c r="Q77" s="40"/>
      <c r="R77" s="40"/>
      <c r="S77" s="40"/>
      <c r="T77" s="40"/>
      <c r="U77" s="40"/>
      <c r="V77" s="48"/>
      <c r="W77" s="21"/>
      <c r="X77" s="40"/>
      <c r="Y77" s="40"/>
      <c r="Z77" s="40"/>
      <c r="AA77" s="40"/>
      <c r="AB77" s="40"/>
      <c r="AC77" s="48"/>
      <c r="AD77" s="40"/>
      <c r="AE77" s="40"/>
      <c r="AF77" s="40"/>
      <c r="AG77" s="21"/>
      <c r="AH77" s="22"/>
      <c r="AI77" s="21"/>
      <c r="AJ77" s="48"/>
      <c r="AK77" s="58"/>
      <c r="AL77" s="61"/>
    </row>
    <row r="78" spans="1:40" s="11" customFormat="1" ht="13.5" customHeight="1">
      <c r="A78" s="230"/>
      <c r="B78" s="91"/>
      <c r="C78" s="22"/>
      <c r="D78" s="40"/>
      <c r="E78" s="21"/>
      <c r="F78" s="21"/>
      <c r="G78" s="21"/>
      <c r="H78" s="48"/>
      <c r="I78" s="40"/>
      <c r="J78" s="21"/>
      <c r="K78" s="53"/>
      <c r="L78" s="40"/>
      <c r="M78" s="22" t="s">
        <v>216</v>
      </c>
      <c r="N78" s="40"/>
      <c r="O78" s="48"/>
      <c r="P78" s="40"/>
      <c r="Q78" s="40"/>
      <c r="R78" s="40"/>
      <c r="S78" s="40"/>
      <c r="T78" s="40"/>
      <c r="U78" s="40"/>
      <c r="V78" s="48"/>
      <c r="W78" s="21"/>
      <c r="X78" s="40"/>
      <c r="Y78" s="40"/>
      <c r="Z78" s="40"/>
      <c r="AA78" s="40"/>
      <c r="AB78" s="40"/>
      <c r="AC78" s="48"/>
      <c r="AD78" s="40"/>
      <c r="AE78" s="40"/>
      <c r="AF78" s="40"/>
      <c r="AG78" s="21"/>
      <c r="AH78" s="91"/>
      <c r="AI78" s="21"/>
      <c r="AJ78" s="48"/>
      <c r="AK78" s="156"/>
      <c r="AL78" s="61"/>
    </row>
    <row r="79" spans="1:40" s="11" customFormat="1" ht="17.25" customHeight="1">
      <c r="A79" s="230"/>
      <c r="B79" s="24"/>
      <c r="C79" s="56"/>
      <c r="D79" s="24"/>
      <c r="E79" s="56"/>
      <c r="F79" s="24"/>
      <c r="G79" s="233">
        <f>3430+513+336</f>
        <v>4279</v>
      </c>
      <c r="H79" s="234"/>
      <c r="I79" s="24"/>
      <c r="J79" s="56"/>
      <c r="K79" s="24"/>
      <c r="L79" s="56"/>
      <c r="M79" s="185">
        <f>16+16+60+53+162+132+152+24+16+26+72+125+742+836+94+373</f>
        <v>2899</v>
      </c>
      <c r="N79" s="56"/>
      <c r="O79" s="56"/>
      <c r="P79" s="56"/>
      <c r="Q79" s="24"/>
      <c r="R79" s="56"/>
      <c r="S79" s="233">
        <f>2500+3957+3495</f>
        <v>9952</v>
      </c>
      <c r="T79" s="234"/>
      <c r="U79" s="56"/>
      <c r="V79" s="25"/>
      <c r="W79" s="56"/>
      <c r="X79" s="24"/>
      <c r="Y79" s="24"/>
      <c r="Z79" s="24"/>
      <c r="AA79" s="56"/>
      <c r="AB79" s="24"/>
      <c r="AC79" s="24"/>
      <c r="AD79" s="24"/>
      <c r="AE79" s="56"/>
      <c r="AF79" s="56"/>
      <c r="AG79" s="56"/>
      <c r="AH79" s="233">
        <f>700+416</f>
        <v>1116</v>
      </c>
      <c r="AI79" s="234"/>
      <c r="AJ79" s="56"/>
      <c r="AK79" s="24"/>
      <c r="AL79" s="64"/>
    </row>
    <row r="80" spans="1:40" s="11" customFormat="1" ht="2.25" customHeight="1">
      <c r="A80" s="26"/>
      <c r="B80" s="27"/>
      <c r="C80" s="27"/>
      <c r="D80" s="27"/>
      <c r="E80" s="28"/>
      <c r="F80" s="27"/>
      <c r="G80" s="27"/>
      <c r="H80" s="27"/>
      <c r="I80" s="27"/>
      <c r="J80" s="44"/>
      <c r="K80" s="44"/>
      <c r="L80" s="44"/>
      <c r="M80" s="44"/>
      <c r="N80" s="44"/>
      <c r="O80" s="27"/>
      <c r="P80" s="27"/>
      <c r="Q80" s="44"/>
      <c r="R80" s="44"/>
      <c r="S80" s="44"/>
      <c r="T80" s="44"/>
      <c r="U80" s="44"/>
      <c r="V80" s="27"/>
      <c r="W80" s="27"/>
      <c r="X80" s="44"/>
      <c r="Y80" s="44"/>
      <c r="Z80" s="44"/>
      <c r="AA80" s="44"/>
      <c r="AB80" s="44"/>
      <c r="AC80" s="27"/>
      <c r="AD80" s="27"/>
      <c r="AE80" s="44"/>
      <c r="AF80" s="44"/>
      <c r="AG80" s="44"/>
      <c r="AH80" s="44"/>
      <c r="AI80" s="44"/>
      <c r="AJ80" s="30"/>
      <c r="AK80" s="27"/>
      <c r="AL80" s="30"/>
    </row>
    <row r="81" spans="1:38" s="57" customFormat="1" ht="32.25" customHeight="1">
      <c r="A81" s="236" t="s">
        <v>2</v>
      </c>
      <c r="B81" s="38" t="s">
        <v>3</v>
      </c>
      <c r="C81" s="32"/>
      <c r="D81" s="31"/>
      <c r="E81" s="31"/>
      <c r="F81" s="32"/>
      <c r="G81" s="32"/>
      <c r="H81" s="32"/>
      <c r="I81" s="238" t="s">
        <v>4</v>
      </c>
      <c r="J81" s="32"/>
      <c r="K81" s="32"/>
      <c r="L81" s="32"/>
      <c r="M81" s="32"/>
      <c r="N81" s="32"/>
      <c r="O81" s="32"/>
      <c r="P81" s="238" t="s">
        <v>5</v>
      </c>
      <c r="Q81" s="32"/>
      <c r="R81" s="32"/>
      <c r="S81" s="32"/>
      <c r="T81" s="32"/>
      <c r="U81" s="32"/>
      <c r="V81" s="32"/>
      <c r="W81" s="238" t="s">
        <v>6</v>
      </c>
      <c r="X81" s="32"/>
      <c r="Y81" s="32"/>
      <c r="Z81" s="32"/>
      <c r="AA81" s="32"/>
      <c r="AB81" s="32"/>
      <c r="AC81" s="32"/>
      <c r="AD81" s="238" t="s">
        <v>46</v>
      </c>
      <c r="AE81" s="32"/>
      <c r="AF81" s="32"/>
      <c r="AG81" s="32"/>
      <c r="AH81" s="32"/>
      <c r="AI81" s="32"/>
      <c r="AJ81" s="32"/>
      <c r="AK81" s="32"/>
      <c r="AL81" s="33"/>
    </row>
    <row r="82" spans="1:38" s="57" customFormat="1" ht="32.25" customHeight="1" thickBot="1">
      <c r="A82" s="237"/>
      <c r="B82" s="39" t="s">
        <v>7</v>
      </c>
      <c r="C82" s="35"/>
      <c r="D82" s="34"/>
      <c r="E82" s="34"/>
      <c r="F82" s="35"/>
      <c r="G82" s="35"/>
      <c r="H82" s="35"/>
      <c r="I82" s="239"/>
      <c r="J82" s="35"/>
      <c r="K82" s="35"/>
      <c r="L82" s="35"/>
      <c r="M82" s="35"/>
      <c r="N82" s="35"/>
      <c r="O82" s="35"/>
      <c r="P82" s="239"/>
      <c r="Q82" s="35"/>
      <c r="R82" s="35"/>
      <c r="S82" s="35"/>
      <c r="T82" s="35"/>
      <c r="U82" s="35"/>
      <c r="V82" s="35"/>
      <c r="W82" s="239"/>
      <c r="X82" s="35"/>
      <c r="Y82" s="35"/>
      <c r="Z82" s="35"/>
      <c r="AA82" s="35"/>
      <c r="AB82" s="35"/>
      <c r="AC82" s="35"/>
      <c r="AD82" s="239"/>
      <c r="AE82" s="35"/>
      <c r="AF82" s="35"/>
      <c r="AG82" s="35"/>
      <c r="AH82" s="35"/>
      <c r="AI82" s="35"/>
      <c r="AJ82" s="35"/>
      <c r="AK82" s="35"/>
      <c r="AL82" s="36"/>
    </row>
  </sheetData>
  <mergeCells count="21">
    <mergeCell ref="G79:H79"/>
    <mergeCell ref="A81:A82"/>
    <mergeCell ref="I81:I82"/>
    <mergeCell ref="P81:P82"/>
    <mergeCell ref="W81:W82"/>
    <mergeCell ref="AD81:AD82"/>
    <mergeCell ref="AH79:AI79"/>
    <mergeCell ref="A9:A27"/>
    <mergeCell ref="AJ18:AK18"/>
    <mergeCell ref="M27:N27"/>
    <mergeCell ref="W27:X27"/>
    <mergeCell ref="A62:A79"/>
    <mergeCell ref="AJ70:AK70"/>
    <mergeCell ref="S79:T79"/>
    <mergeCell ref="G56:H56"/>
    <mergeCell ref="G27:H27"/>
    <mergeCell ref="A33:A56"/>
    <mergeCell ref="AJ44:AK44"/>
    <mergeCell ref="M56:N56"/>
    <mergeCell ref="S56:T56"/>
    <mergeCell ref="AD56:AE56"/>
  </mergeCells>
  <phoneticPr fontId="48" type="noConversion"/>
  <printOptions horizontalCentered="1"/>
  <pageMargins left="0" right="0" top="0" bottom="0" header="0" footer="0"/>
  <pageSetup paperSize="9" scale="4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96"/>
  <sheetViews>
    <sheetView zoomScale="75" zoomScaleNormal="75" workbookViewId="0">
      <pane ySplit="4" topLeftCell="A53" activePane="bottomLeft" state="frozen"/>
      <selection activeCell="X50" sqref="X50"/>
      <selection pane="bottomLeft" activeCell="G46" sqref="G46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39" s="4" customFormat="1" ht="22">
      <c r="A1" s="3"/>
      <c r="B1" s="7"/>
      <c r="Q1" s="1" t="s">
        <v>1221</v>
      </c>
      <c r="AJ1" s="5" t="s">
        <v>1645</v>
      </c>
    </row>
    <row r="2" spans="1:39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39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39" s="11" customFormat="1" ht="17.25" customHeight="1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39" s="11" customFormat="1" ht="16.5" customHeight="1">
      <c r="A5" s="12" t="s">
        <v>0</v>
      </c>
      <c r="B5" s="16"/>
      <c r="C5" s="16"/>
      <c r="D5" s="16"/>
      <c r="E5" s="16"/>
      <c r="F5" s="16"/>
      <c r="G5" s="16">
        <v>1040</v>
      </c>
      <c r="H5" s="25"/>
      <c r="I5" s="16">
        <v>1040</v>
      </c>
      <c r="J5" s="16">
        <v>1430</v>
      </c>
      <c r="K5" s="16">
        <v>1430</v>
      </c>
      <c r="L5" s="16">
        <v>1430</v>
      </c>
      <c r="M5" s="51">
        <v>1430</v>
      </c>
      <c r="N5" s="16">
        <v>1040</v>
      </c>
      <c r="O5" s="25"/>
      <c r="P5" s="16">
        <v>1040</v>
      </c>
      <c r="Q5" s="16">
        <v>1240</v>
      </c>
      <c r="R5" s="16">
        <v>1240</v>
      </c>
      <c r="S5" s="51">
        <v>1240</v>
      </c>
      <c r="T5" s="16">
        <v>1240</v>
      </c>
      <c r="U5" s="16">
        <v>1240</v>
      </c>
      <c r="V5" s="25"/>
      <c r="W5" s="16">
        <v>1240</v>
      </c>
      <c r="X5" s="16">
        <v>1040</v>
      </c>
      <c r="Y5" s="16">
        <v>1040</v>
      </c>
      <c r="Z5" s="16">
        <v>1040</v>
      </c>
      <c r="AA5" s="16">
        <v>1040</v>
      </c>
      <c r="AB5" s="16">
        <v>1040</v>
      </c>
      <c r="AC5" s="25"/>
      <c r="AD5" s="16">
        <v>1040</v>
      </c>
      <c r="AE5" s="16">
        <v>1040</v>
      </c>
      <c r="AF5" s="16">
        <v>1040</v>
      </c>
      <c r="AG5" s="16">
        <v>1040</v>
      </c>
      <c r="AH5" s="16">
        <v>1040</v>
      </c>
      <c r="AI5" s="51">
        <v>1040</v>
      </c>
      <c r="AJ5" s="25"/>
      <c r="AK5" s="16">
        <v>1040</v>
      </c>
      <c r="AL5" s="16">
        <v>1040</v>
      </c>
      <c r="AM5" s="17">
        <f>+SUM(B5:AL5)</f>
        <v>30840</v>
      </c>
    </row>
    <row r="6" spans="1:39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92">
        <v>11</v>
      </c>
      <c r="J6" s="192">
        <v>11</v>
      </c>
      <c r="K6" s="192">
        <v>11</v>
      </c>
      <c r="L6" s="192">
        <v>11</v>
      </c>
      <c r="M6" s="192">
        <v>8</v>
      </c>
      <c r="N6" s="192">
        <v>8</v>
      </c>
      <c r="O6" s="25"/>
      <c r="P6" s="18">
        <v>9.5</v>
      </c>
      <c r="Q6" s="18">
        <v>9.5</v>
      </c>
      <c r="R6" s="18">
        <v>9.5</v>
      </c>
      <c r="S6" s="18">
        <v>9.5</v>
      </c>
      <c r="T6" s="18">
        <v>9.5</v>
      </c>
      <c r="U6" s="18">
        <v>9.5</v>
      </c>
      <c r="V6" s="25"/>
      <c r="W6" s="18">
        <v>8</v>
      </c>
      <c r="X6" s="18">
        <v>8</v>
      </c>
      <c r="Y6" s="18">
        <v>8</v>
      </c>
      <c r="Z6" s="18">
        <v>8</v>
      </c>
      <c r="AA6" s="18">
        <v>8</v>
      </c>
      <c r="AB6" s="18">
        <v>8</v>
      </c>
      <c r="AC6" s="25"/>
      <c r="AD6" s="18">
        <v>8</v>
      </c>
      <c r="AE6" s="18">
        <v>8</v>
      </c>
      <c r="AF6" s="18">
        <v>8</v>
      </c>
      <c r="AG6" s="18">
        <v>8</v>
      </c>
      <c r="AH6" s="18">
        <v>8</v>
      </c>
      <c r="AI6" s="18">
        <v>8</v>
      </c>
      <c r="AJ6" s="25"/>
      <c r="AK6" s="18">
        <v>8</v>
      </c>
      <c r="AL6" s="18">
        <v>8</v>
      </c>
    </row>
    <row r="7" spans="1:39" s="17" customFormat="1" ht="16.5" customHeight="1">
      <c r="A7" s="2" t="s">
        <v>19</v>
      </c>
      <c r="B7" s="41"/>
      <c r="C7" s="41"/>
      <c r="D7" s="41"/>
      <c r="E7" s="41"/>
      <c r="F7" s="41"/>
      <c r="G7" s="80" t="s">
        <v>323</v>
      </c>
      <c r="H7" s="25"/>
      <c r="I7" s="41"/>
      <c r="J7" s="41"/>
      <c r="K7" s="41"/>
      <c r="L7" s="41"/>
      <c r="M7" s="41"/>
      <c r="N7" s="41"/>
      <c r="O7" s="25"/>
      <c r="P7" s="41"/>
      <c r="Q7" s="41"/>
      <c r="R7" s="41"/>
      <c r="S7" s="41"/>
      <c r="T7" s="41"/>
      <c r="U7" s="41"/>
      <c r="V7" s="25"/>
      <c r="W7" s="41"/>
      <c r="X7" s="41"/>
      <c r="Y7" s="41"/>
      <c r="Z7" s="41"/>
      <c r="AA7" s="41"/>
      <c r="AB7" s="41"/>
      <c r="AC7" s="25"/>
      <c r="AD7" s="41"/>
      <c r="AE7" s="41"/>
      <c r="AF7" s="41"/>
      <c r="AG7" s="41"/>
      <c r="AH7" s="41"/>
      <c r="AI7" s="41"/>
      <c r="AJ7" s="25"/>
      <c r="AK7" s="41"/>
      <c r="AL7" s="60"/>
    </row>
    <row r="8" spans="1:39" s="17" customFormat="1" ht="16.5" customHeight="1">
      <c r="A8" s="2" t="s">
        <v>20</v>
      </c>
      <c r="B8" s="20"/>
      <c r="C8" s="20"/>
      <c r="D8" s="20"/>
      <c r="E8" s="20"/>
      <c r="F8" s="20"/>
      <c r="G8" s="20"/>
      <c r="H8" s="25"/>
      <c r="I8" s="20"/>
      <c r="J8" s="20"/>
      <c r="K8" s="20"/>
      <c r="L8" s="20"/>
      <c r="M8" s="20"/>
      <c r="N8" s="20"/>
      <c r="O8" s="25"/>
      <c r="P8" s="20"/>
      <c r="Q8" s="20"/>
      <c r="R8" s="20"/>
      <c r="S8" s="20"/>
      <c r="T8" s="20"/>
      <c r="U8" s="20"/>
      <c r="V8" s="25"/>
      <c r="W8" s="20"/>
      <c r="X8" s="20"/>
      <c r="Y8" s="20"/>
      <c r="Z8" s="20"/>
      <c r="AA8" s="20"/>
      <c r="AB8" s="20"/>
      <c r="AC8" s="25"/>
      <c r="AD8" s="20"/>
      <c r="AE8" s="20"/>
      <c r="AF8" s="20"/>
      <c r="AG8" s="20"/>
      <c r="AH8" s="20"/>
      <c r="AI8" s="20"/>
      <c r="AJ8" s="25"/>
      <c r="AK8" s="20"/>
      <c r="AL8" s="60"/>
    </row>
    <row r="9" spans="1:39" s="11" customFormat="1" ht="13.5" customHeight="1">
      <c r="A9" s="229" t="s">
        <v>28</v>
      </c>
      <c r="B9" s="46"/>
      <c r="C9" s="49"/>
      <c r="D9" s="40"/>
      <c r="E9" s="47"/>
      <c r="F9" s="47"/>
      <c r="G9" s="52" t="s">
        <v>364</v>
      </c>
      <c r="H9" s="48"/>
      <c r="J9" s="47"/>
      <c r="K9" s="50"/>
      <c r="N9" s="40"/>
      <c r="O9" s="48"/>
      <c r="P9" s="52" t="s">
        <v>364</v>
      </c>
      <c r="Q9" s="50"/>
      <c r="S9" s="40"/>
      <c r="T9" s="40"/>
      <c r="U9" s="40"/>
      <c r="V9" s="48"/>
      <c r="W9" s="52" t="s">
        <v>364</v>
      </c>
      <c r="X9" s="50"/>
      <c r="Y9" s="47"/>
      <c r="Z9" s="52"/>
      <c r="AB9" s="47"/>
      <c r="AC9" s="48"/>
      <c r="AE9" s="55"/>
      <c r="AH9" s="52" t="s">
        <v>364</v>
      </c>
      <c r="AI9" s="47"/>
      <c r="AJ9" s="48"/>
      <c r="AK9" s="62"/>
      <c r="AL9" s="61"/>
    </row>
    <row r="10" spans="1:39" s="11" customFormat="1" ht="13.5" customHeight="1">
      <c r="A10" s="230"/>
      <c r="B10" s="22"/>
      <c r="C10" s="22"/>
      <c r="D10" s="40"/>
      <c r="E10" s="21"/>
      <c r="F10" s="21"/>
      <c r="G10" s="171" t="s">
        <v>1450</v>
      </c>
      <c r="H10" s="48"/>
      <c r="I10" s="40"/>
      <c r="J10" s="21"/>
      <c r="K10" s="22"/>
      <c r="L10" s="40"/>
      <c r="M10" s="40"/>
      <c r="N10" s="40"/>
      <c r="O10" s="48"/>
      <c r="P10" s="22" t="s">
        <v>365</v>
      </c>
      <c r="Q10" s="22"/>
      <c r="R10" s="40"/>
      <c r="S10" s="40"/>
      <c r="T10" s="40"/>
      <c r="U10" s="40"/>
      <c r="V10" s="48"/>
      <c r="W10" s="22" t="s">
        <v>1007</v>
      </c>
      <c r="X10" s="40"/>
      <c r="Y10" s="40"/>
      <c r="Z10" s="40"/>
      <c r="AA10" s="40"/>
      <c r="AB10" s="21"/>
      <c r="AC10" s="48"/>
      <c r="AD10" s="40"/>
      <c r="AE10" s="22"/>
      <c r="AF10" s="40"/>
      <c r="AG10" s="40"/>
      <c r="AH10" s="22" t="s">
        <v>391</v>
      </c>
      <c r="AI10" s="21"/>
      <c r="AJ10" s="48"/>
      <c r="AK10" s="58"/>
      <c r="AL10" s="61"/>
    </row>
    <row r="11" spans="1:39" s="11" customFormat="1" ht="13.5" customHeight="1">
      <c r="A11" s="230"/>
      <c r="B11" s="22"/>
      <c r="C11" s="22"/>
      <c r="D11" s="40"/>
      <c r="E11" s="21"/>
      <c r="F11" s="21"/>
      <c r="G11" s="171" t="s">
        <v>1451</v>
      </c>
      <c r="H11" s="48"/>
      <c r="I11" s="40"/>
      <c r="J11" s="21"/>
      <c r="K11" s="22"/>
      <c r="L11" s="40"/>
      <c r="M11" s="40"/>
      <c r="N11" s="40"/>
      <c r="O11" s="48"/>
      <c r="P11" s="22" t="s">
        <v>370</v>
      </c>
      <c r="Q11" s="22"/>
      <c r="R11" s="40"/>
      <c r="S11" s="40"/>
      <c r="T11" s="40"/>
      <c r="U11" s="40"/>
      <c r="V11" s="48"/>
      <c r="W11" s="22" t="s">
        <v>581</v>
      </c>
      <c r="X11" s="40"/>
      <c r="Y11" s="40"/>
      <c r="Z11" s="40"/>
      <c r="AA11" s="40"/>
      <c r="AB11" s="21"/>
      <c r="AC11" s="48"/>
      <c r="AD11" s="40"/>
      <c r="AE11" s="22"/>
      <c r="AF11" s="40"/>
      <c r="AG11" s="40"/>
      <c r="AH11" s="22" t="s">
        <v>392</v>
      </c>
      <c r="AI11" s="21"/>
      <c r="AJ11" s="48"/>
      <c r="AK11" s="58"/>
      <c r="AL11" s="61"/>
    </row>
    <row r="12" spans="1:39" s="11" customFormat="1" ht="13.5" customHeight="1">
      <c r="A12" s="230"/>
      <c r="B12" s="22"/>
      <c r="C12" s="55"/>
      <c r="D12" s="40"/>
      <c r="E12" s="21"/>
      <c r="F12" s="21"/>
      <c r="G12" s="171" t="s">
        <v>1452</v>
      </c>
      <c r="H12" s="48"/>
      <c r="I12" s="40"/>
      <c r="J12" s="21"/>
      <c r="K12" s="22"/>
      <c r="L12" s="40"/>
      <c r="M12" s="40"/>
      <c r="N12" s="40"/>
      <c r="O12" s="48"/>
      <c r="P12" s="22" t="s">
        <v>371</v>
      </c>
      <c r="Q12" s="40"/>
      <c r="R12" s="40"/>
      <c r="S12" s="40"/>
      <c r="T12" s="40"/>
      <c r="U12" s="40"/>
      <c r="V12" s="48"/>
      <c r="W12" s="22" t="s">
        <v>585</v>
      </c>
      <c r="X12" s="40"/>
      <c r="Y12" s="40"/>
      <c r="Z12" s="40"/>
      <c r="AA12" s="40"/>
      <c r="AB12" s="40"/>
      <c r="AC12" s="48"/>
      <c r="AD12" s="40"/>
      <c r="AE12" s="22"/>
      <c r="AF12" s="40"/>
      <c r="AG12" s="40"/>
      <c r="AH12" s="22" t="s">
        <v>393</v>
      </c>
      <c r="AI12" s="21"/>
      <c r="AJ12" s="48"/>
      <c r="AK12" s="58"/>
      <c r="AL12" s="61"/>
    </row>
    <row r="13" spans="1:39" s="11" customFormat="1" ht="13.5" customHeight="1">
      <c r="A13" s="230"/>
      <c r="B13" s="22"/>
      <c r="C13" s="22"/>
      <c r="D13" s="40"/>
      <c r="E13" s="21"/>
      <c r="F13" s="21"/>
      <c r="G13" s="171" t="s">
        <v>1453</v>
      </c>
      <c r="H13" s="48"/>
      <c r="I13" s="40"/>
      <c r="J13" s="21"/>
      <c r="K13" s="53"/>
      <c r="L13" s="40"/>
      <c r="M13" s="40"/>
      <c r="N13" s="40"/>
      <c r="O13" s="48"/>
      <c r="P13" s="22" t="s">
        <v>372</v>
      </c>
      <c r="Q13" s="40"/>
      <c r="R13" s="40"/>
      <c r="S13" s="40"/>
      <c r="T13" s="40"/>
      <c r="U13" s="40"/>
      <c r="V13" s="48"/>
      <c r="W13" s="22" t="s">
        <v>586</v>
      </c>
      <c r="X13" s="40"/>
      <c r="Y13" s="40"/>
      <c r="Z13" s="40"/>
      <c r="AA13" s="40"/>
      <c r="AB13" s="40"/>
      <c r="AC13" s="48"/>
      <c r="AD13" s="40"/>
      <c r="AE13" s="22"/>
      <c r="AF13" s="40"/>
      <c r="AG13" s="40"/>
      <c r="AH13" s="22" t="s">
        <v>394</v>
      </c>
      <c r="AI13" s="21"/>
      <c r="AJ13" s="48"/>
      <c r="AK13" s="58"/>
      <c r="AL13" s="61"/>
    </row>
    <row r="14" spans="1:39" s="11" customFormat="1" ht="13.5" customHeight="1">
      <c r="A14" s="230"/>
      <c r="B14" s="22"/>
      <c r="C14" s="22"/>
      <c r="D14" s="40"/>
      <c r="E14" s="21"/>
      <c r="F14" s="21"/>
      <c r="G14" s="171" t="s">
        <v>1454</v>
      </c>
      <c r="H14" s="48"/>
      <c r="I14" s="40"/>
      <c r="J14" s="21"/>
      <c r="K14" s="53"/>
      <c r="L14" s="40"/>
      <c r="M14" s="40"/>
      <c r="N14" s="40"/>
      <c r="O14" s="48"/>
      <c r="P14" s="22" t="s">
        <v>373</v>
      </c>
      <c r="Q14" s="40"/>
      <c r="R14" s="40"/>
      <c r="S14" s="40"/>
      <c r="T14" s="40"/>
      <c r="U14" s="40"/>
      <c r="V14" s="48"/>
      <c r="W14" s="22" t="s">
        <v>1023</v>
      </c>
      <c r="X14" s="40"/>
      <c r="Y14" s="40"/>
      <c r="Z14" s="40"/>
      <c r="AA14" s="40"/>
      <c r="AB14" s="40"/>
      <c r="AC14" s="48"/>
      <c r="AD14" s="40"/>
      <c r="AE14" s="22"/>
      <c r="AF14" s="40"/>
      <c r="AG14" s="40"/>
      <c r="AH14" s="22" t="s">
        <v>395</v>
      </c>
      <c r="AI14" s="21"/>
      <c r="AJ14" s="48"/>
      <c r="AK14" s="58"/>
      <c r="AL14" s="61"/>
    </row>
    <row r="15" spans="1:39" s="11" customFormat="1" ht="13.5" customHeight="1">
      <c r="A15" s="230"/>
      <c r="B15" s="22"/>
      <c r="C15" s="22"/>
      <c r="D15" s="40"/>
      <c r="E15" s="21"/>
      <c r="F15" s="21"/>
      <c r="G15" s="171" t="s">
        <v>1455</v>
      </c>
      <c r="H15" s="48"/>
      <c r="I15" s="40"/>
      <c r="J15" s="21"/>
      <c r="K15" s="53"/>
      <c r="L15" s="40"/>
      <c r="M15" s="40"/>
      <c r="N15" s="40"/>
      <c r="O15" s="48"/>
      <c r="P15" s="22" t="s">
        <v>366</v>
      </c>
      <c r="Q15" s="40"/>
      <c r="R15" s="40"/>
      <c r="S15" s="40"/>
      <c r="T15" s="40"/>
      <c r="U15" s="40"/>
      <c r="V15" s="48"/>
      <c r="W15" s="22" t="s">
        <v>1017</v>
      </c>
      <c r="X15" s="40"/>
      <c r="Y15" s="40"/>
      <c r="Z15" s="40"/>
      <c r="AA15" s="40"/>
      <c r="AB15" s="50"/>
      <c r="AC15" s="48"/>
      <c r="AD15" s="40"/>
      <c r="AE15" s="40"/>
      <c r="AF15" s="40"/>
      <c r="AG15" s="40"/>
      <c r="AH15" s="22" t="s">
        <v>396</v>
      </c>
      <c r="AI15" s="21"/>
      <c r="AJ15" s="48"/>
      <c r="AK15" s="58"/>
      <c r="AL15" s="61"/>
    </row>
    <row r="16" spans="1:39" s="11" customFormat="1" ht="13.5" customHeight="1">
      <c r="A16" s="230"/>
      <c r="B16" s="22"/>
      <c r="C16" s="22"/>
      <c r="D16" s="40"/>
      <c r="E16" s="21"/>
      <c r="F16" s="21"/>
      <c r="G16" s="171" t="s">
        <v>1546</v>
      </c>
      <c r="H16" s="48"/>
      <c r="I16" s="40"/>
      <c r="J16" s="21"/>
      <c r="K16" s="22"/>
      <c r="L16" s="40"/>
      <c r="M16" s="40"/>
      <c r="N16" s="40"/>
      <c r="O16" s="48"/>
      <c r="P16" s="22" t="s">
        <v>367</v>
      </c>
      <c r="Q16" s="40"/>
      <c r="R16" s="40"/>
      <c r="S16" s="40"/>
      <c r="T16" s="40"/>
      <c r="U16" s="40"/>
      <c r="V16" s="48"/>
      <c r="W16" s="22" t="s">
        <v>1018</v>
      </c>
      <c r="X16" s="40"/>
      <c r="Y16" s="40"/>
      <c r="Z16" s="40"/>
      <c r="AB16" s="40"/>
      <c r="AC16" s="48"/>
      <c r="AD16" s="40"/>
      <c r="AE16" s="40"/>
      <c r="AF16" s="40"/>
      <c r="AG16" s="40"/>
      <c r="AH16" s="22" t="s">
        <v>397</v>
      </c>
      <c r="AI16" s="21"/>
      <c r="AJ16" s="48"/>
      <c r="AK16" s="58"/>
      <c r="AL16" s="61"/>
    </row>
    <row r="17" spans="1:38" s="11" customFormat="1" ht="13.5" customHeight="1">
      <c r="A17" s="230"/>
      <c r="B17" s="22"/>
      <c r="C17" s="22"/>
      <c r="D17" s="40"/>
      <c r="E17" s="21"/>
      <c r="F17" s="21"/>
      <c r="G17" s="171" t="s">
        <v>1547</v>
      </c>
      <c r="H17" s="48"/>
      <c r="I17" s="40"/>
      <c r="J17" s="21"/>
      <c r="K17" s="53"/>
      <c r="L17" s="40"/>
      <c r="M17" s="40"/>
      <c r="N17" s="40"/>
      <c r="O17" s="48"/>
      <c r="P17" s="22" t="s">
        <v>368</v>
      </c>
      <c r="Q17" s="40"/>
      <c r="R17" s="40"/>
      <c r="S17" s="40"/>
      <c r="T17" s="40"/>
      <c r="U17" s="40"/>
      <c r="V17" s="48"/>
      <c r="W17" s="22" t="s">
        <v>1019</v>
      </c>
      <c r="X17" s="40"/>
      <c r="Y17" s="40"/>
      <c r="Z17" s="40"/>
      <c r="AA17" s="40"/>
      <c r="AB17" s="40"/>
      <c r="AC17" s="48"/>
      <c r="AD17" s="40"/>
      <c r="AE17" s="40"/>
      <c r="AF17" s="40"/>
      <c r="AG17" s="40"/>
      <c r="AH17" s="22" t="s">
        <v>1134</v>
      </c>
      <c r="AI17" s="21"/>
      <c r="AJ17" s="48"/>
      <c r="AL17" s="61"/>
    </row>
    <row r="18" spans="1:38" s="11" customFormat="1" ht="13.5" customHeight="1">
      <c r="A18" s="230"/>
      <c r="B18" s="22"/>
      <c r="C18" s="22"/>
      <c r="D18" s="40"/>
      <c r="E18" s="40"/>
      <c r="F18" s="21"/>
      <c r="G18" s="171" t="s">
        <v>1548</v>
      </c>
      <c r="H18" s="48"/>
      <c r="I18" s="40"/>
      <c r="J18" s="21"/>
      <c r="K18" s="53"/>
      <c r="L18" s="40"/>
      <c r="M18" s="40"/>
      <c r="N18" s="40"/>
      <c r="O18" s="48"/>
      <c r="P18" s="22" t="s">
        <v>369</v>
      </c>
      <c r="Q18" s="40"/>
      <c r="R18" s="40"/>
      <c r="S18" s="40"/>
      <c r="T18" s="40"/>
      <c r="U18" s="40"/>
      <c r="V18" s="48"/>
      <c r="W18" s="22" t="s">
        <v>1149</v>
      </c>
      <c r="X18" s="40"/>
      <c r="Y18" s="40"/>
      <c r="Z18" s="40"/>
      <c r="AA18" s="40"/>
      <c r="AB18" s="40"/>
      <c r="AC18" s="48"/>
      <c r="AD18" s="40"/>
      <c r="AE18" s="40"/>
      <c r="AF18" s="40"/>
      <c r="AG18" s="40"/>
      <c r="AH18" s="22" t="s">
        <v>1135</v>
      </c>
      <c r="AI18" s="21"/>
      <c r="AJ18" s="48"/>
      <c r="AK18" s="58"/>
      <c r="AL18" s="61"/>
    </row>
    <row r="19" spans="1:38" s="11" customFormat="1" ht="13.5" customHeight="1">
      <c r="A19" s="230"/>
      <c r="C19" s="22"/>
      <c r="D19" s="40"/>
      <c r="E19" s="40"/>
      <c r="F19" s="40"/>
      <c r="G19" s="171" t="s">
        <v>1549</v>
      </c>
      <c r="H19" s="48"/>
      <c r="I19" s="40"/>
      <c r="J19" s="21"/>
      <c r="K19" s="53"/>
      <c r="L19" s="40"/>
      <c r="M19" s="40"/>
      <c r="N19" s="40"/>
      <c r="O19" s="48"/>
      <c r="P19" s="22" t="s">
        <v>377</v>
      </c>
      <c r="Q19" s="40"/>
      <c r="R19" s="40"/>
      <c r="S19" s="40"/>
      <c r="T19" s="40"/>
      <c r="U19" s="40"/>
      <c r="V19" s="48"/>
      <c r="W19" s="22" t="s">
        <v>1008</v>
      </c>
      <c r="X19" s="40"/>
      <c r="Y19" s="40"/>
      <c r="Z19" s="40"/>
      <c r="AA19" s="40"/>
      <c r="AB19" s="40"/>
      <c r="AC19" s="48"/>
      <c r="AD19" s="40"/>
      <c r="AE19" s="40"/>
      <c r="AF19" s="40"/>
      <c r="AG19" s="40"/>
      <c r="AH19" s="22" t="s">
        <v>1136</v>
      </c>
      <c r="AI19" s="21"/>
      <c r="AJ19" s="48"/>
      <c r="AK19" s="156"/>
      <c r="AL19" s="61"/>
    </row>
    <row r="20" spans="1:38" s="11" customFormat="1" ht="13.5" customHeight="1">
      <c r="A20" s="230"/>
      <c r="B20" s="91"/>
      <c r="C20" s="22"/>
      <c r="D20" s="40"/>
      <c r="E20" s="40"/>
      <c r="F20" s="40"/>
      <c r="G20" s="171" t="s">
        <v>1447</v>
      </c>
      <c r="H20" s="48"/>
      <c r="I20" s="40"/>
      <c r="J20" s="21"/>
      <c r="K20" s="53"/>
      <c r="L20" s="40"/>
      <c r="M20" s="40"/>
      <c r="N20" s="40"/>
      <c r="O20" s="48"/>
      <c r="P20" s="22" t="s">
        <v>374</v>
      </c>
      <c r="Q20" s="40"/>
      <c r="R20" s="40"/>
      <c r="S20" s="40"/>
      <c r="T20" s="40"/>
      <c r="U20" s="40"/>
      <c r="V20" s="48"/>
      <c r="W20" s="22" t="s">
        <v>1009</v>
      </c>
      <c r="X20" s="40"/>
      <c r="Y20" s="40"/>
      <c r="Z20" s="40"/>
      <c r="AA20" s="40"/>
      <c r="AB20" s="40"/>
      <c r="AC20" s="48"/>
      <c r="AD20" s="40"/>
      <c r="AE20" s="40"/>
      <c r="AF20" s="40"/>
      <c r="AG20" s="40"/>
      <c r="AH20" s="22" t="s">
        <v>1137</v>
      </c>
      <c r="AI20" s="21"/>
      <c r="AJ20" s="48"/>
      <c r="AK20" s="156"/>
      <c r="AL20" s="61"/>
    </row>
    <row r="21" spans="1:38" s="11" customFormat="1" ht="13.5" customHeight="1">
      <c r="A21" s="230"/>
      <c r="B21" s="91" t="s">
        <v>909</v>
      </c>
      <c r="C21" s="22"/>
      <c r="D21" s="40"/>
      <c r="E21" s="40"/>
      <c r="F21" s="203"/>
      <c r="G21" s="171" t="s">
        <v>1448</v>
      </c>
      <c r="H21" s="48"/>
      <c r="I21" s="40"/>
      <c r="J21" s="21"/>
      <c r="K21" s="53"/>
      <c r="L21" s="40"/>
      <c r="M21" s="40"/>
      <c r="N21" s="40"/>
      <c r="O21" s="48"/>
      <c r="P21" s="96" t="s">
        <v>924</v>
      </c>
      <c r="Q21" s="40"/>
      <c r="R21" s="40"/>
      <c r="S21" s="40"/>
      <c r="T21" s="40"/>
      <c r="U21" s="40"/>
      <c r="V21" s="48"/>
      <c r="W21" s="22" t="s">
        <v>1010</v>
      </c>
      <c r="X21" s="40"/>
      <c r="Y21" s="40"/>
      <c r="Z21" s="40"/>
      <c r="AA21" s="40"/>
      <c r="AB21" s="40"/>
      <c r="AC21" s="48"/>
      <c r="AD21" s="40"/>
      <c r="AE21" s="40"/>
      <c r="AF21" s="40"/>
      <c r="AG21" s="40"/>
      <c r="AH21" s="40"/>
      <c r="AI21" s="21"/>
      <c r="AJ21" s="231">
        <f>+SUM(B38:AL38)</f>
        <v>35941</v>
      </c>
      <c r="AK21" s="232"/>
      <c r="AL21" s="23" t="s">
        <v>1</v>
      </c>
    </row>
    <row r="22" spans="1:38" s="11" customFormat="1" ht="13.5" customHeight="1">
      <c r="A22" s="230"/>
      <c r="B22" s="91"/>
      <c r="C22" s="22"/>
      <c r="D22" s="40"/>
      <c r="E22" s="40"/>
      <c r="F22" s="21"/>
      <c r="G22" s="171" t="s">
        <v>1449</v>
      </c>
      <c r="H22" s="48"/>
      <c r="I22" s="40"/>
      <c r="J22" s="21"/>
      <c r="K22" s="53"/>
      <c r="L22" s="40"/>
      <c r="M22" s="40"/>
      <c r="N22" s="40"/>
      <c r="O22" s="48"/>
      <c r="P22" s="22" t="s">
        <v>375</v>
      </c>
      <c r="Q22" s="40"/>
      <c r="R22" s="40"/>
      <c r="S22" s="40"/>
      <c r="T22" s="40"/>
      <c r="U22" s="40"/>
      <c r="V22" s="48"/>
      <c r="W22" s="22" t="s">
        <v>1011</v>
      </c>
      <c r="X22" s="40"/>
      <c r="Y22" s="40"/>
      <c r="Z22" s="40"/>
      <c r="AA22" s="40"/>
      <c r="AB22" s="40"/>
      <c r="AC22" s="48"/>
      <c r="AD22" s="40"/>
      <c r="AE22" s="40"/>
      <c r="AF22" s="40"/>
      <c r="AG22" s="40"/>
      <c r="AH22" s="22" t="s">
        <v>1128</v>
      </c>
      <c r="AI22" s="21"/>
      <c r="AJ22" s="48"/>
      <c r="AK22" s="156"/>
      <c r="AL22" s="61"/>
    </row>
    <row r="23" spans="1:38" s="11" customFormat="1" ht="13.5" customHeight="1">
      <c r="A23" s="230"/>
      <c r="B23" s="91"/>
      <c r="C23" s="22"/>
      <c r="D23" s="40"/>
      <c r="E23" s="40"/>
      <c r="F23" s="52"/>
      <c r="G23" s="171" t="s">
        <v>1545</v>
      </c>
      <c r="H23" s="48"/>
      <c r="I23" s="40"/>
      <c r="J23" s="21"/>
      <c r="K23" s="22"/>
      <c r="L23" s="40"/>
      <c r="M23" s="40"/>
      <c r="N23" s="40"/>
      <c r="O23" s="48"/>
      <c r="P23" s="22" t="s">
        <v>376</v>
      </c>
      <c r="Q23" s="22"/>
      <c r="R23" s="40"/>
      <c r="S23" s="40"/>
      <c r="T23" s="40"/>
      <c r="U23" s="40"/>
      <c r="V23" s="48"/>
      <c r="W23" s="22" t="s">
        <v>1013</v>
      </c>
      <c r="X23" s="40"/>
      <c r="Y23" s="40"/>
      <c r="Z23" s="40"/>
      <c r="AA23" s="40"/>
      <c r="AB23" s="21"/>
      <c r="AC23" s="48"/>
      <c r="AD23" s="40"/>
      <c r="AE23" s="40"/>
      <c r="AF23" s="40"/>
      <c r="AG23" s="40"/>
      <c r="AH23" s="22" t="s">
        <v>1129</v>
      </c>
      <c r="AI23" s="40"/>
      <c r="AJ23" s="48"/>
      <c r="AK23" s="156"/>
      <c r="AL23" s="61"/>
    </row>
    <row r="24" spans="1:38" s="11" customFormat="1" ht="13.5" customHeight="1">
      <c r="A24" s="230"/>
      <c r="B24" s="91"/>
      <c r="C24" s="22"/>
      <c r="D24" s="40"/>
      <c r="E24" s="40"/>
      <c r="F24" s="40"/>
      <c r="G24" s="219" t="s">
        <v>529</v>
      </c>
      <c r="H24" s="48"/>
      <c r="I24" s="40"/>
      <c r="J24" s="21"/>
      <c r="K24" s="22"/>
      <c r="L24" s="40"/>
      <c r="M24" s="40"/>
      <c r="N24" s="40"/>
      <c r="O24" s="48"/>
      <c r="P24" s="22" t="s">
        <v>386</v>
      </c>
      <c r="Q24" s="22"/>
      <c r="R24" s="40"/>
      <c r="S24" s="40"/>
      <c r="T24" s="40"/>
      <c r="U24" s="40"/>
      <c r="V24" s="48"/>
      <c r="W24" s="22" t="s">
        <v>1015</v>
      </c>
      <c r="X24" s="40"/>
      <c r="Y24" s="40"/>
      <c r="Z24" s="40"/>
      <c r="AA24" s="40"/>
      <c r="AB24" s="21"/>
      <c r="AC24" s="48"/>
      <c r="AD24" s="40"/>
      <c r="AE24" s="40"/>
      <c r="AF24" s="40"/>
      <c r="AG24" s="40"/>
      <c r="AH24" s="22" t="s">
        <v>1130</v>
      </c>
      <c r="AI24" s="40"/>
      <c r="AJ24" s="48"/>
      <c r="AK24" s="156"/>
      <c r="AL24" s="61"/>
    </row>
    <row r="25" spans="1:38" s="11" customFormat="1" ht="13.5" customHeight="1">
      <c r="A25" s="230"/>
      <c r="B25" s="91"/>
      <c r="C25" s="22"/>
      <c r="D25" s="40"/>
      <c r="E25" s="40"/>
      <c r="F25" s="40"/>
      <c r="G25" s="196" t="s">
        <v>1566</v>
      </c>
      <c r="H25" s="48"/>
      <c r="I25" s="40"/>
      <c r="J25" s="21"/>
      <c r="K25" s="22"/>
      <c r="L25" s="40"/>
      <c r="M25" s="40"/>
      <c r="N25" s="40"/>
      <c r="O25" s="48"/>
      <c r="P25" s="22" t="s">
        <v>387</v>
      </c>
      <c r="Q25" s="22"/>
      <c r="R25" s="40"/>
      <c r="S25" s="40"/>
      <c r="T25" s="40"/>
      <c r="U25" s="40"/>
      <c r="V25" s="48"/>
      <c r="W25" s="22" t="s">
        <v>1016</v>
      </c>
      <c r="X25" s="40"/>
      <c r="Y25" s="40"/>
      <c r="Z25" s="40"/>
      <c r="AA25" s="40"/>
      <c r="AB25" s="21"/>
      <c r="AC25" s="48"/>
      <c r="AD25" s="40"/>
      <c r="AE25" s="40"/>
      <c r="AF25" s="40"/>
      <c r="AG25" s="40"/>
      <c r="AH25" s="22" t="s">
        <v>1131</v>
      </c>
      <c r="AI25" s="40"/>
      <c r="AJ25" s="48"/>
      <c r="AK25" s="156"/>
      <c r="AL25" s="61"/>
    </row>
    <row r="26" spans="1:38" s="11" customFormat="1" ht="13.5" customHeight="1">
      <c r="A26" s="230"/>
      <c r="B26" s="91"/>
      <c r="C26" s="22"/>
      <c r="D26" s="40"/>
      <c r="E26" s="40"/>
      <c r="F26" s="40"/>
      <c r="G26" s="196" t="s">
        <v>1550</v>
      </c>
      <c r="H26" s="48"/>
      <c r="I26" s="40"/>
      <c r="J26" s="21"/>
      <c r="K26" s="22"/>
      <c r="L26" s="40"/>
      <c r="M26" s="40"/>
      <c r="N26" s="40"/>
      <c r="O26" s="48"/>
      <c r="P26" s="22" t="s">
        <v>388</v>
      </c>
      <c r="Q26" s="22"/>
      <c r="R26" s="22"/>
      <c r="S26" s="40"/>
      <c r="T26" s="40"/>
      <c r="U26" s="40"/>
      <c r="V26" s="48"/>
      <c r="W26" s="22" t="s">
        <v>1020</v>
      </c>
      <c r="X26" s="40"/>
      <c r="Y26" s="40"/>
      <c r="Z26" s="40"/>
      <c r="AA26" s="40"/>
      <c r="AB26" s="21"/>
      <c r="AC26" s="48"/>
      <c r="AD26" s="40"/>
      <c r="AE26" s="40"/>
      <c r="AF26" s="40"/>
      <c r="AG26" s="40"/>
      <c r="AH26" s="22" t="s">
        <v>1132</v>
      </c>
      <c r="AI26" s="40"/>
      <c r="AJ26" s="48"/>
      <c r="AK26" s="156"/>
      <c r="AL26" s="61"/>
    </row>
    <row r="27" spans="1:38" s="11" customFormat="1" ht="13.5" customHeight="1">
      <c r="A27" s="230"/>
      <c r="B27" s="91"/>
      <c r="C27" s="40"/>
      <c r="D27" s="40"/>
      <c r="E27" s="40"/>
      <c r="F27" s="40"/>
      <c r="G27" s="196" t="s">
        <v>1551</v>
      </c>
      <c r="H27" s="48"/>
      <c r="I27" s="40"/>
      <c r="J27" s="21"/>
      <c r="K27" s="22"/>
      <c r="L27" s="40"/>
      <c r="M27" s="40"/>
      <c r="N27" s="40"/>
      <c r="O27" s="48"/>
      <c r="P27" s="22" t="s">
        <v>389</v>
      </c>
      <c r="Q27" s="40"/>
      <c r="R27" s="22"/>
      <c r="S27" s="40"/>
      <c r="T27" s="40"/>
      <c r="U27" s="40"/>
      <c r="V27" s="48"/>
      <c r="W27" s="22" t="s">
        <v>1012</v>
      </c>
      <c r="X27" s="40"/>
      <c r="Y27" s="40"/>
      <c r="Z27" s="40"/>
      <c r="AA27" s="40"/>
      <c r="AB27" s="21"/>
      <c r="AC27" s="48"/>
      <c r="AD27" s="40"/>
      <c r="AE27" s="40"/>
      <c r="AF27" s="40"/>
      <c r="AG27" s="40"/>
      <c r="AH27" s="22" t="s">
        <v>1133</v>
      </c>
      <c r="AI27" s="40"/>
      <c r="AJ27" s="48"/>
      <c r="AK27" s="156"/>
      <c r="AL27" s="61"/>
    </row>
    <row r="28" spans="1:38" s="11" customFormat="1" ht="13.5" customHeight="1">
      <c r="A28" s="230"/>
      <c r="B28" s="91"/>
      <c r="C28" s="40"/>
      <c r="D28" s="40"/>
      <c r="E28" s="21"/>
      <c r="F28" s="40"/>
      <c r="G28" s="195" t="s">
        <v>1365</v>
      </c>
      <c r="H28" s="48"/>
      <c r="I28" s="21"/>
      <c r="J28" s="40"/>
      <c r="K28" s="40"/>
      <c r="L28" s="40"/>
      <c r="M28" s="40"/>
      <c r="N28" s="40"/>
      <c r="O28" s="48"/>
      <c r="P28" s="22" t="s">
        <v>390</v>
      </c>
      <c r="Q28" s="40"/>
      <c r="R28" s="22"/>
      <c r="S28" s="40"/>
      <c r="T28" s="40"/>
      <c r="U28" s="40"/>
      <c r="V28" s="48"/>
      <c r="W28" s="22" t="s">
        <v>1014</v>
      </c>
      <c r="X28" s="40"/>
      <c r="Y28" s="40"/>
      <c r="Z28" s="40"/>
      <c r="AA28" s="40"/>
      <c r="AB28" s="21"/>
      <c r="AC28" s="48"/>
      <c r="AD28" s="40"/>
      <c r="AE28" s="40"/>
      <c r="AF28" s="40"/>
      <c r="AG28" s="40"/>
      <c r="AH28" s="40"/>
      <c r="AI28" s="40"/>
      <c r="AJ28" s="48"/>
      <c r="AK28" s="156"/>
      <c r="AL28" s="61"/>
    </row>
    <row r="29" spans="1:38" s="11" customFormat="1" ht="13.5" customHeight="1">
      <c r="A29" s="230"/>
      <c r="B29" s="91"/>
      <c r="C29" s="40"/>
      <c r="D29" s="40"/>
      <c r="E29" s="21"/>
      <c r="F29" s="40"/>
      <c r="G29" s="40"/>
      <c r="H29" s="48"/>
      <c r="I29" s="21"/>
      <c r="J29" s="40"/>
      <c r="K29" s="40"/>
      <c r="L29" s="40"/>
      <c r="M29" s="40"/>
      <c r="N29" s="40"/>
      <c r="O29" s="48"/>
      <c r="P29" s="22" t="s">
        <v>385</v>
      </c>
      <c r="Q29" s="40"/>
      <c r="R29" s="22"/>
      <c r="S29" s="40"/>
      <c r="T29" s="40"/>
      <c r="U29" s="40"/>
      <c r="V29" s="48"/>
      <c r="W29" s="22" t="s">
        <v>1344</v>
      </c>
      <c r="X29" s="40"/>
      <c r="Y29" s="40"/>
      <c r="Z29" s="40"/>
      <c r="AA29" s="40"/>
      <c r="AB29" s="21"/>
      <c r="AC29" s="48"/>
      <c r="AD29" s="40"/>
      <c r="AE29" s="40"/>
      <c r="AF29" s="40"/>
      <c r="AG29" s="40"/>
      <c r="AH29" s="91"/>
      <c r="AI29" s="40"/>
      <c r="AJ29" s="48"/>
      <c r="AK29" s="156"/>
      <c r="AL29" s="61"/>
    </row>
    <row r="30" spans="1:38" s="11" customFormat="1" ht="13.5" customHeight="1">
      <c r="A30" s="230"/>
      <c r="B30" s="91"/>
      <c r="C30" s="22"/>
      <c r="D30" s="40"/>
      <c r="E30" s="21"/>
      <c r="F30" s="40"/>
      <c r="G30" s="40"/>
      <c r="H30" s="48"/>
      <c r="I30" s="21"/>
      <c r="J30" s="40"/>
      <c r="K30" s="40"/>
      <c r="L30" s="40"/>
      <c r="M30" s="40"/>
      <c r="N30" s="40"/>
      <c r="O30" s="48"/>
      <c r="P30" s="22" t="s">
        <v>1345</v>
      </c>
      <c r="Q30" s="40"/>
      <c r="R30" s="22"/>
      <c r="S30" s="40"/>
      <c r="T30" s="40"/>
      <c r="U30" s="40"/>
      <c r="V30" s="48"/>
      <c r="W30" s="22" t="s">
        <v>1056</v>
      </c>
      <c r="X30" s="40"/>
      <c r="Z30" s="40"/>
      <c r="AA30" s="40"/>
      <c r="AB30" s="21"/>
      <c r="AC30" s="48"/>
      <c r="AD30" s="40"/>
      <c r="AE30" s="40"/>
      <c r="AF30" s="40"/>
      <c r="AG30" s="40"/>
      <c r="AH30" s="91"/>
      <c r="AI30" s="40"/>
      <c r="AJ30" s="48"/>
      <c r="AK30" s="156"/>
      <c r="AL30" s="61"/>
    </row>
    <row r="31" spans="1:38" s="11" customFormat="1" ht="13.5" customHeight="1">
      <c r="A31" s="230"/>
      <c r="B31" s="91"/>
      <c r="C31" s="22"/>
      <c r="D31" s="40"/>
      <c r="E31" s="21"/>
      <c r="F31" s="40"/>
      <c r="G31" s="40"/>
      <c r="H31" s="48"/>
      <c r="I31" s="21"/>
      <c r="J31" s="40"/>
      <c r="K31" s="40"/>
      <c r="L31" s="40"/>
      <c r="M31" s="40"/>
      <c r="N31" s="40"/>
      <c r="O31" s="48"/>
      <c r="P31" s="22" t="s">
        <v>378</v>
      </c>
      <c r="Q31" s="40"/>
      <c r="R31" s="22"/>
      <c r="S31" s="40"/>
      <c r="T31" s="40"/>
      <c r="U31" s="40"/>
      <c r="V31" s="48"/>
      <c r="W31" s="22" t="s">
        <v>1005</v>
      </c>
      <c r="X31" s="40"/>
      <c r="Y31" s="40"/>
      <c r="Z31" s="40"/>
      <c r="AA31" s="40"/>
      <c r="AB31" s="21"/>
      <c r="AC31" s="48"/>
      <c r="AD31" s="40"/>
      <c r="AE31" s="40"/>
      <c r="AF31" s="40"/>
      <c r="AG31" s="40"/>
      <c r="AH31" s="91"/>
      <c r="AI31" s="40"/>
      <c r="AJ31" s="48"/>
      <c r="AK31" s="156"/>
      <c r="AL31" s="61"/>
    </row>
    <row r="32" spans="1:38" s="11" customFormat="1" ht="13.5" customHeight="1">
      <c r="A32" s="230"/>
      <c r="B32" s="91"/>
      <c r="C32" s="22"/>
      <c r="D32" s="40"/>
      <c r="E32" s="21"/>
      <c r="F32" s="40"/>
      <c r="G32" s="40"/>
      <c r="H32" s="48"/>
      <c r="I32" s="21"/>
      <c r="J32" s="40"/>
      <c r="K32" s="40"/>
      <c r="L32" s="40"/>
      <c r="M32" s="40"/>
      <c r="N32" s="40"/>
      <c r="O32" s="48"/>
      <c r="P32" s="22" t="s">
        <v>379</v>
      </c>
      <c r="Q32" s="40"/>
      <c r="R32" s="22"/>
      <c r="S32" s="40"/>
      <c r="T32" s="40"/>
      <c r="U32" s="40"/>
      <c r="V32" s="48"/>
      <c r="W32" s="22" t="s">
        <v>1006</v>
      </c>
      <c r="X32" s="40"/>
      <c r="Y32" s="40"/>
      <c r="Z32" s="40"/>
      <c r="AA32" s="40"/>
      <c r="AB32" s="21"/>
      <c r="AC32" s="48"/>
      <c r="AD32" s="40"/>
      <c r="AE32" s="40"/>
      <c r="AF32" s="40"/>
      <c r="AG32" s="40"/>
      <c r="AH32" s="91"/>
      <c r="AI32" s="40"/>
      <c r="AJ32" s="48"/>
      <c r="AK32" s="156"/>
      <c r="AL32" s="61"/>
    </row>
    <row r="33" spans="1:39" s="11" customFormat="1" ht="13.5" customHeight="1">
      <c r="A33" s="230"/>
      <c r="B33" s="91"/>
      <c r="C33" s="22"/>
      <c r="D33" s="40"/>
      <c r="E33" s="21"/>
      <c r="F33" s="40"/>
      <c r="G33" s="40"/>
      <c r="H33" s="48"/>
      <c r="I33" s="21"/>
      <c r="J33" s="40"/>
      <c r="K33" s="40"/>
      <c r="L33" s="40"/>
      <c r="M33" s="40"/>
      <c r="N33" s="40"/>
      <c r="O33" s="48"/>
      <c r="P33" s="22" t="s">
        <v>380</v>
      </c>
      <c r="Q33" s="40"/>
      <c r="R33" s="22"/>
      <c r="S33" s="40"/>
      <c r="T33" s="40"/>
      <c r="U33" s="40"/>
      <c r="V33" s="48"/>
      <c r="W33" s="40"/>
      <c r="X33" s="40"/>
      <c r="Y33" s="40"/>
      <c r="Z33" s="40"/>
      <c r="AA33" s="40"/>
      <c r="AB33" s="21"/>
      <c r="AC33" s="48"/>
      <c r="AD33" s="40"/>
      <c r="AE33" s="40"/>
      <c r="AF33" s="40"/>
      <c r="AG33" s="40"/>
      <c r="AH33" s="91"/>
      <c r="AI33" s="40"/>
      <c r="AJ33" s="48"/>
      <c r="AK33" s="156"/>
      <c r="AL33" s="61"/>
    </row>
    <row r="34" spans="1:39" s="11" customFormat="1" ht="13.5" customHeight="1">
      <c r="A34" s="230"/>
      <c r="B34" s="91"/>
      <c r="C34" s="22"/>
      <c r="D34" s="40"/>
      <c r="E34" s="21"/>
      <c r="F34" s="21"/>
      <c r="G34" s="40"/>
      <c r="H34" s="48"/>
      <c r="I34" s="21"/>
      <c r="J34" s="40"/>
      <c r="K34" s="40"/>
      <c r="L34" s="40"/>
      <c r="M34" s="40"/>
      <c r="N34" s="40"/>
      <c r="O34" s="48"/>
      <c r="P34" s="22" t="s">
        <v>381</v>
      </c>
      <c r="Q34" s="40"/>
      <c r="R34" s="22"/>
      <c r="S34" s="40"/>
      <c r="T34" s="40"/>
      <c r="U34" s="40"/>
      <c r="V34" s="48"/>
      <c r="W34" s="40"/>
      <c r="X34" s="40"/>
      <c r="Y34" s="40"/>
      <c r="Z34" s="40"/>
      <c r="AA34" s="40"/>
      <c r="AB34" s="21"/>
      <c r="AC34" s="48"/>
      <c r="AD34" s="40"/>
      <c r="AE34" s="40"/>
      <c r="AF34" s="40"/>
      <c r="AG34" s="40"/>
      <c r="AH34" s="91"/>
      <c r="AI34" s="40"/>
      <c r="AJ34" s="48"/>
      <c r="AK34" s="156"/>
      <c r="AL34" s="61"/>
    </row>
    <row r="35" spans="1:39" s="11" customFormat="1" ht="13.5" customHeight="1">
      <c r="A35" s="230"/>
      <c r="B35" s="91"/>
      <c r="C35" s="22"/>
      <c r="D35" s="40"/>
      <c r="E35" s="21"/>
      <c r="F35" s="21"/>
      <c r="G35" s="40"/>
      <c r="H35" s="48"/>
      <c r="I35" s="21"/>
      <c r="J35" s="40"/>
      <c r="K35" s="40"/>
      <c r="L35" s="40"/>
      <c r="M35" s="40"/>
      <c r="N35" s="40"/>
      <c r="O35" s="48"/>
      <c r="P35" s="22" t="s">
        <v>382</v>
      </c>
      <c r="Q35" s="40"/>
      <c r="R35" s="22"/>
      <c r="S35" s="40"/>
      <c r="T35" s="21"/>
      <c r="U35" s="40"/>
      <c r="V35" s="48"/>
      <c r="W35" s="40"/>
      <c r="X35" s="40"/>
      <c r="Y35" s="40"/>
      <c r="Z35" s="40"/>
      <c r="AA35" s="40"/>
      <c r="AB35" s="21"/>
      <c r="AC35" s="48"/>
      <c r="AD35" s="40"/>
      <c r="AE35" s="40"/>
      <c r="AF35" s="40"/>
      <c r="AG35" s="40"/>
      <c r="AH35" s="91"/>
      <c r="AI35" s="40"/>
      <c r="AJ35" s="48"/>
      <c r="AK35" s="156"/>
      <c r="AL35" s="61"/>
    </row>
    <row r="36" spans="1:39" s="11" customFormat="1" ht="13.5" customHeight="1">
      <c r="A36" s="230"/>
      <c r="B36" s="91"/>
      <c r="C36" s="22"/>
      <c r="D36" s="40"/>
      <c r="E36" s="21"/>
      <c r="F36" s="21"/>
      <c r="G36" s="40"/>
      <c r="H36" s="48"/>
      <c r="I36" s="21"/>
      <c r="J36" s="40"/>
      <c r="K36" s="40"/>
      <c r="L36" s="40"/>
      <c r="M36" s="40"/>
      <c r="N36" s="40"/>
      <c r="O36" s="48"/>
      <c r="P36" s="22" t="s">
        <v>383</v>
      </c>
      <c r="Q36" s="40"/>
      <c r="R36" s="22"/>
      <c r="S36" s="40"/>
      <c r="T36" s="40"/>
      <c r="U36" s="21"/>
      <c r="V36" s="48"/>
      <c r="W36" s="21"/>
      <c r="X36" s="40"/>
      <c r="Y36" s="40"/>
      <c r="Z36" s="40"/>
      <c r="AA36" s="40"/>
      <c r="AB36" s="21"/>
      <c r="AC36" s="48"/>
      <c r="AD36" s="40"/>
      <c r="AE36" s="40"/>
      <c r="AF36" s="40"/>
      <c r="AG36" s="40"/>
      <c r="AH36" s="91"/>
      <c r="AJ36" s="48"/>
      <c r="AK36" s="156"/>
      <c r="AL36" s="61"/>
    </row>
    <row r="37" spans="1:39" s="11" customFormat="1" ht="13.5" customHeight="1">
      <c r="A37" s="230"/>
      <c r="B37" s="91"/>
      <c r="C37" s="22"/>
      <c r="D37" s="40"/>
      <c r="E37" s="21"/>
      <c r="F37" s="21"/>
      <c r="H37" s="48"/>
      <c r="I37" s="21"/>
      <c r="J37" s="40"/>
      <c r="K37" s="40"/>
      <c r="L37" s="40"/>
      <c r="M37" s="40"/>
      <c r="N37" s="40"/>
      <c r="O37" s="48"/>
      <c r="P37" s="22" t="s">
        <v>384</v>
      </c>
      <c r="Q37" s="40"/>
      <c r="R37" s="22"/>
      <c r="S37" s="40"/>
      <c r="T37" s="40"/>
      <c r="U37" s="21"/>
      <c r="V37" s="48"/>
      <c r="W37" s="21"/>
      <c r="X37" s="40"/>
      <c r="Y37" s="40"/>
      <c r="Z37" s="40"/>
      <c r="AA37" s="40"/>
      <c r="AB37" s="21"/>
      <c r="AC37" s="48"/>
      <c r="AD37" s="40"/>
      <c r="AE37" s="40"/>
      <c r="AF37" s="40"/>
      <c r="AG37" s="40"/>
      <c r="AH37" s="91"/>
      <c r="AI37" s="97" t="s">
        <v>1293</v>
      </c>
      <c r="AJ37" s="48"/>
      <c r="AK37" s="156"/>
      <c r="AL37" s="61"/>
    </row>
    <row r="38" spans="1:39" s="11" customFormat="1" ht="16.5" customHeight="1">
      <c r="A38" s="230"/>
      <c r="B38" s="24"/>
      <c r="C38" s="56"/>
      <c r="D38" s="24"/>
      <c r="E38" s="56"/>
      <c r="F38" s="24"/>
      <c r="G38" s="233">
        <f>604+341+450+703+605+300+300+420+370+669+320+505+1848+100+1519+300+100</f>
        <v>9454</v>
      </c>
      <c r="H38" s="234"/>
      <c r="I38" s="56"/>
      <c r="J38" s="24"/>
      <c r="K38" s="24"/>
      <c r="L38" s="56"/>
      <c r="M38" s="56"/>
      <c r="N38" s="56"/>
      <c r="O38" s="56"/>
      <c r="P38" s="233">
        <f>529+600+150+190+166+527+25+480+172+116+111+65+450+571+110+293+163+325+25+380+374+377+435+305+1+25+163+566</f>
        <v>7694</v>
      </c>
      <c r="Q38" s="234"/>
      <c r="R38" s="56"/>
      <c r="S38" s="24"/>
      <c r="T38" s="24"/>
      <c r="U38" s="24"/>
      <c r="V38" s="56"/>
      <c r="W38" s="233">
        <f>366+410+378+405+1175+350+384+890+240+321+540+102+500+323+300+690+1707+1248+420+136+300+200+396</f>
        <v>11781</v>
      </c>
      <c r="X38" s="234"/>
      <c r="Y38" s="24"/>
      <c r="Z38" s="24"/>
      <c r="AA38" s="24"/>
      <c r="AB38" s="24"/>
      <c r="AC38" s="25"/>
      <c r="AD38" s="24"/>
      <c r="AE38" s="24"/>
      <c r="AF38" s="24"/>
      <c r="AG38" s="24"/>
      <c r="AH38" s="233">
        <f>455+343+124+525+319+100+678+511+856+198+139+1000+126+100+734+628+176</f>
        <v>7012</v>
      </c>
      <c r="AI38" s="234"/>
      <c r="AJ38" s="24"/>
      <c r="AK38" s="24"/>
      <c r="AL38" s="64"/>
    </row>
    <row r="39" spans="1:39" s="11" customFormat="1" ht="2.25" customHeight="1">
      <c r="A39" s="26"/>
      <c r="B39" s="27"/>
      <c r="C39" s="27"/>
      <c r="D39" s="27"/>
      <c r="E39" s="28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30"/>
    </row>
    <row r="40" spans="1:39" s="11" customFormat="1" ht="19.5" customHeight="1">
      <c r="A40" s="12" t="s">
        <v>0</v>
      </c>
      <c r="B40" s="16"/>
      <c r="C40" s="16"/>
      <c r="D40" s="16"/>
      <c r="E40" s="16"/>
      <c r="F40" s="16"/>
      <c r="G40" s="16">
        <v>1160</v>
      </c>
      <c r="H40" s="25"/>
      <c r="I40" s="16">
        <v>1160</v>
      </c>
      <c r="J40" s="16">
        <v>1600</v>
      </c>
      <c r="K40" s="16">
        <v>1600</v>
      </c>
      <c r="L40" s="68">
        <v>1440</v>
      </c>
      <c r="M40" s="16">
        <v>1600</v>
      </c>
      <c r="N40" s="16">
        <v>1160</v>
      </c>
      <c r="O40" s="119"/>
      <c r="P40" s="16">
        <v>1160</v>
      </c>
      <c r="Q40" s="16">
        <v>1380</v>
      </c>
      <c r="R40" s="16">
        <v>1380</v>
      </c>
      <c r="S40" s="68">
        <v>1240</v>
      </c>
      <c r="T40" s="51">
        <v>1380</v>
      </c>
      <c r="U40" s="16">
        <v>1380</v>
      </c>
      <c r="V40" s="25"/>
      <c r="W40" s="16">
        <v>1380</v>
      </c>
      <c r="X40" s="16">
        <v>1160</v>
      </c>
      <c r="Y40" s="16">
        <v>1160</v>
      </c>
      <c r="Z40" s="16">
        <v>1160</v>
      </c>
      <c r="AA40" s="16">
        <v>1160</v>
      </c>
      <c r="AB40" s="16">
        <v>1160</v>
      </c>
      <c r="AC40" s="25"/>
      <c r="AD40" s="16">
        <v>1160</v>
      </c>
      <c r="AE40" s="16">
        <v>1160</v>
      </c>
      <c r="AF40" s="51">
        <v>1160</v>
      </c>
      <c r="AG40" s="16">
        <v>1160</v>
      </c>
      <c r="AH40" s="68">
        <v>1050</v>
      </c>
      <c r="AI40" s="68">
        <v>1050</v>
      </c>
      <c r="AJ40" s="25"/>
      <c r="AK40" s="16">
        <v>1160</v>
      </c>
      <c r="AL40" s="129">
        <v>1160</v>
      </c>
      <c r="AM40" s="17">
        <f>+SUM(B40:AL40)</f>
        <v>33880</v>
      </c>
    </row>
    <row r="41" spans="1:39" s="17" customFormat="1" ht="16.5" customHeight="1">
      <c r="A41" s="12" t="s">
        <v>18</v>
      </c>
      <c r="B41" s="122">
        <v>11</v>
      </c>
      <c r="C41" s="122">
        <v>11</v>
      </c>
      <c r="D41" s="122">
        <v>11</v>
      </c>
      <c r="E41" s="122">
        <v>11</v>
      </c>
      <c r="F41" s="122">
        <v>8</v>
      </c>
      <c r="G41" s="122">
        <v>8</v>
      </c>
      <c r="H41" s="25"/>
      <c r="I41" s="192">
        <v>11</v>
      </c>
      <c r="J41" s="192">
        <v>11</v>
      </c>
      <c r="K41" s="192">
        <v>11</v>
      </c>
      <c r="L41" s="192">
        <v>11</v>
      </c>
      <c r="M41" s="192">
        <v>8</v>
      </c>
      <c r="N41" s="192">
        <v>8</v>
      </c>
      <c r="O41" s="25"/>
      <c r="P41" s="18">
        <v>9.5</v>
      </c>
      <c r="Q41" s="18">
        <v>9.5</v>
      </c>
      <c r="R41" s="18">
        <v>9.5</v>
      </c>
      <c r="S41" s="18">
        <v>9.5</v>
      </c>
      <c r="T41" s="18">
        <v>9.5</v>
      </c>
      <c r="U41" s="18">
        <v>9.5</v>
      </c>
      <c r="V41" s="25"/>
      <c r="W41" s="18">
        <v>8</v>
      </c>
      <c r="X41" s="18">
        <v>8</v>
      </c>
      <c r="Y41" s="18">
        <v>8</v>
      </c>
      <c r="Z41" s="18">
        <v>8</v>
      </c>
      <c r="AA41" s="18">
        <v>8</v>
      </c>
      <c r="AB41" s="18">
        <v>8</v>
      </c>
      <c r="AC41" s="25"/>
      <c r="AD41" s="18">
        <v>8</v>
      </c>
      <c r="AE41" s="18">
        <v>8</v>
      </c>
      <c r="AF41" s="18">
        <v>8</v>
      </c>
      <c r="AG41" s="18">
        <v>8</v>
      </c>
      <c r="AH41" s="18">
        <v>8</v>
      </c>
      <c r="AI41" s="18">
        <v>8</v>
      </c>
      <c r="AJ41" s="25"/>
      <c r="AK41" s="18">
        <v>8</v>
      </c>
      <c r="AL41" s="130">
        <v>8</v>
      </c>
    </row>
    <row r="42" spans="1:39" s="17" customFormat="1" ht="17.25" customHeight="1">
      <c r="A42" s="2" t="s">
        <v>19</v>
      </c>
      <c r="B42" s="41"/>
      <c r="C42" s="41"/>
      <c r="D42" s="41"/>
      <c r="E42" s="41"/>
      <c r="F42" s="41"/>
      <c r="G42" s="80" t="s">
        <v>345</v>
      </c>
      <c r="H42" s="25"/>
      <c r="I42" s="41"/>
      <c r="J42" s="41"/>
      <c r="K42" s="41"/>
      <c r="L42" s="80" t="s">
        <v>345</v>
      </c>
      <c r="M42" s="41"/>
      <c r="N42" s="41"/>
      <c r="O42" s="25"/>
      <c r="P42" s="80"/>
      <c r="Q42" s="41"/>
      <c r="R42" s="41"/>
      <c r="S42" s="80" t="s">
        <v>345</v>
      </c>
      <c r="T42" s="41"/>
      <c r="U42" s="80"/>
      <c r="V42" s="25"/>
      <c r="W42" s="41"/>
      <c r="X42" s="41"/>
      <c r="Y42" s="41"/>
      <c r="Z42" s="80"/>
      <c r="AA42" s="80"/>
      <c r="AB42" s="41"/>
      <c r="AC42" s="25"/>
      <c r="AD42" s="41"/>
      <c r="AE42" s="41"/>
      <c r="AF42" s="41"/>
      <c r="AG42" s="41"/>
      <c r="AH42" s="80" t="s">
        <v>345</v>
      </c>
      <c r="AI42" s="80" t="s">
        <v>345</v>
      </c>
      <c r="AJ42" s="25"/>
      <c r="AK42" s="41"/>
      <c r="AL42" s="173"/>
    </row>
    <row r="43" spans="1:39" s="17" customFormat="1" ht="17.25" customHeight="1">
      <c r="A43" s="2"/>
      <c r="B43" s="41"/>
      <c r="C43" s="41"/>
      <c r="D43" s="41"/>
      <c r="E43" s="41"/>
      <c r="F43" s="41"/>
      <c r="G43" s="41"/>
      <c r="H43" s="25"/>
      <c r="I43" s="41"/>
      <c r="J43" s="41"/>
      <c r="K43" s="41"/>
      <c r="L43" s="249" t="s">
        <v>1313</v>
      </c>
      <c r="M43" s="250"/>
      <c r="N43" s="250"/>
      <c r="O43" s="250"/>
      <c r="P43" s="250"/>
      <c r="Q43" s="251"/>
      <c r="R43" s="41"/>
      <c r="S43" s="249" t="s">
        <v>1311</v>
      </c>
      <c r="T43" s="250"/>
      <c r="U43" s="251"/>
      <c r="V43" s="25"/>
      <c r="W43" s="41"/>
      <c r="X43" s="41"/>
      <c r="Y43" s="249" t="s">
        <v>1313</v>
      </c>
      <c r="Z43" s="251"/>
      <c r="AA43" s="20"/>
      <c r="AB43" s="20"/>
      <c r="AC43" s="25"/>
      <c r="AD43" s="41"/>
      <c r="AE43" s="20"/>
      <c r="AF43" s="41"/>
      <c r="AG43" s="41"/>
      <c r="AH43" s="20">
        <v>0.9</v>
      </c>
      <c r="AI43" s="20">
        <v>0.9</v>
      </c>
      <c r="AJ43" s="25"/>
      <c r="AK43" s="41"/>
      <c r="AL43" s="173"/>
    </row>
    <row r="44" spans="1:39" s="17" customFormat="1" ht="17.25" customHeight="1">
      <c r="A44" s="2" t="s">
        <v>20</v>
      </c>
      <c r="B44" s="20"/>
      <c r="C44" s="20"/>
      <c r="D44" s="20"/>
      <c r="E44" s="20"/>
      <c r="F44" s="20"/>
      <c r="G44" s="20"/>
      <c r="H44" s="25"/>
      <c r="I44" s="20"/>
      <c r="J44" s="20"/>
      <c r="K44" s="82"/>
      <c r="L44" s="20">
        <v>0.9</v>
      </c>
      <c r="M44" s="20"/>
      <c r="N44" s="20"/>
      <c r="O44" s="25"/>
      <c r="P44" s="20"/>
      <c r="Q44" s="20"/>
      <c r="R44" s="20"/>
      <c r="S44" s="20">
        <v>0.9</v>
      </c>
      <c r="T44" s="20"/>
      <c r="U44" s="20"/>
      <c r="V44" s="25"/>
      <c r="W44" s="20"/>
      <c r="X44" s="20"/>
      <c r="Y44" s="20"/>
      <c r="Z44" s="41"/>
      <c r="AA44" s="20"/>
      <c r="AB44" s="20"/>
      <c r="AC44" s="25"/>
      <c r="AD44" s="20"/>
      <c r="AE44" s="20"/>
      <c r="AF44" s="20"/>
      <c r="AG44" s="20"/>
      <c r="AH44" s="20"/>
      <c r="AI44" s="20"/>
      <c r="AJ44" s="25"/>
      <c r="AK44" s="20"/>
      <c r="AL44" s="60"/>
    </row>
    <row r="45" spans="1:39" s="11" customFormat="1" ht="14.25" customHeight="1">
      <c r="A45" s="229" t="s">
        <v>29</v>
      </c>
      <c r="B45" s="46"/>
      <c r="C45" s="50"/>
      <c r="D45" s="40"/>
      <c r="E45" s="47"/>
      <c r="F45" s="47"/>
      <c r="G45" s="203" t="s">
        <v>400</v>
      </c>
      <c r="H45" s="48"/>
      <c r="I45" s="40"/>
      <c r="J45" s="47"/>
      <c r="K45" s="40"/>
      <c r="L45" s="50" t="s">
        <v>400</v>
      </c>
      <c r="M45" s="40"/>
      <c r="N45" s="47"/>
      <c r="O45" s="48"/>
      <c r="P45" s="40"/>
      <c r="Q45" s="40"/>
      <c r="S45" s="50" t="s">
        <v>400</v>
      </c>
      <c r="T45" s="40"/>
      <c r="U45" s="50" t="s">
        <v>400</v>
      </c>
      <c r="V45" s="48"/>
      <c r="W45" s="40"/>
      <c r="Y45" s="50" t="s">
        <v>400</v>
      </c>
      <c r="Z45" s="40"/>
      <c r="AC45" s="48"/>
      <c r="AD45" s="40"/>
      <c r="AE45" s="40"/>
      <c r="AF45" s="40"/>
      <c r="AG45" s="40"/>
      <c r="AH45" s="50" t="s">
        <v>400</v>
      </c>
      <c r="AI45" s="47"/>
      <c r="AJ45" s="48"/>
      <c r="AK45" s="62"/>
      <c r="AL45" s="61"/>
    </row>
    <row r="46" spans="1:39" s="11" customFormat="1" ht="14.25" customHeight="1">
      <c r="A46" s="230"/>
      <c r="B46" s="40"/>
      <c r="D46" s="40"/>
      <c r="E46" s="21"/>
      <c r="F46" s="21"/>
      <c r="G46" s="171" t="s">
        <v>1456</v>
      </c>
      <c r="H46" s="48"/>
      <c r="I46" s="40"/>
      <c r="J46" s="21"/>
      <c r="K46" s="40"/>
      <c r="L46" s="127" t="s">
        <v>1174</v>
      </c>
      <c r="M46" s="125"/>
      <c r="N46" s="126"/>
      <c r="O46" s="128"/>
      <c r="P46" s="125"/>
      <c r="Q46" s="40"/>
      <c r="R46" s="40"/>
      <c r="S46" s="115" t="s">
        <v>426</v>
      </c>
      <c r="T46" s="40"/>
      <c r="U46" s="40"/>
      <c r="V46" s="48"/>
      <c r="W46" s="40"/>
      <c r="X46" s="40"/>
      <c r="Y46" s="133" t="s">
        <v>448</v>
      </c>
      <c r="Z46" s="40"/>
      <c r="AA46" s="40"/>
      <c r="AB46" s="40"/>
      <c r="AC46" s="48"/>
      <c r="AD46" s="40"/>
      <c r="AE46" s="40"/>
      <c r="AF46" s="40"/>
      <c r="AG46" s="40"/>
      <c r="AH46" s="22" t="s">
        <v>444</v>
      </c>
      <c r="AI46" s="21"/>
      <c r="AJ46" s="48"/>
      <c r="AK46" s="58"/>
      <c r="AL46" s="61"/>
    </row>
    <row r="47" spans="1:39" s="11" customFormat="1" ht="14.25" customHeight="1">
      <c r="A47" s="230"/>
      <c r="B47" s="40"/>
      <c r="D47" s="40"/>
      <c r="E47" s="40"/>
      <c r="F47" s="40"/>
      <c r="G47" s="171" t="s">
        <v>1457</v>
      </c>
      <c r="H47" s="48"/>
      <c r="I47" s="40"/>
      <c r="J47" s="21"/>
      <c r="K47" s="40"/>
      <c r="L47" s="127" t="s">
        <v>1175</v>
      </c>
      <c r="M47" s="125"/>
      <c r="N47" s="126"/>
      <c r="O47" s="128"/>
      <c r="P47" s="125"/>
      <c r="Q47" s="40"/>
      <c r="R47" s="40"/>
      <c r="S47" s="115" t="s">
        <v>427</v>
      </c>
      <c r="T47" s="40"/>
      <c r="U47" s="40"/>
      <c r="V47" s="48"/>
      <c r="W47" s="40"/>
      <c r="X47" s="40"/>
      <c r="Y47" s="133" t="s">
        <v>1314</v>
      </c>
      <c r="Z47" s="40"/>
      <c r="AA47" s="40"/>
      <c r="AB47" s="40"/>
      <c r="AC47" s="48"/>
      <c r="AD47" s="40"/>
      <c r="AE47" s="40"/>
      <c r="AF47" s="40"/>
      <c r="AG47" s="40"/>
      <c r="AH47" s="22" t="s">
        <v>1169</v>
      </c>
      <c r="AI47" s="21"/>
      <c r="AJ47" s="48"/>
      <c r="AK47" s="58"/>
      <c r="AL47" s="61"/>
    </row>
    <row r="48" spans="1:39" s="11" customFormat="1" ht="14.25" customHeight="1">
      <c r="A48" s="230"/>
      <c r="B48" s="40"/>
      <c r="D48" s="40"/>
      <c r="E48" s="40"/>
      <c r="F48" s="40"/>
      <c r="G48" s="171" t="s">
        <v>1458</v>
      </c>
      <c r="H48" s="48"/>
      <c r="I48" s="40"/>
      <c r="J48" s="21"/>
      <c r="K48" s="40"/>
      <c r="L48" s="127" t="s">
        <v>1176</v>
      </c>
      <c r="M48" s="125"/>
      <c r="N48" s="126"/>
      <c r="O48" s="128"/>
      <c r="P48" s="125"/>
      <c r="Q48" s="40"/>
      <c r="R48" s="40"/>
      <c r="S48" s="114" t="s">
        <v>422</v>
      </c>
      <c r="T48" s="40"/>
      <c r="U48" s="40"/>
      <c r="V48" s="48"/>
      <c r="W48" s="40"/>
      <c r="X48" s="40"/>
      <c r="Y48" s="133" t="s">
        <v>446</v>
      </c>
      <c r="Z48" s="40"/>
      <c r="AA48" s="40"/>
      <c r="AB48" s="40"/>
      <c r="AC48" s="48"/>
      <c r="AD48" s="40"/>
      <c r="AE48" s="40"/>
      <c r="AF48" s="40"/>
      <c r="AG48" s="40"/>
      <c r="AH48" s="22" t="s">
        <v>1170</v>
      </c>
      <c r="AI48" s="21"/>
      <c r="AJ48" s="48"/>
      <c r="AK48" s="58"/>
      <c r="AL48" s="61"/>
    </row>
    <row r="49" spans="1:40" s="11" customFormat="1" ht="14.25" customHeight="1">
      <c r="A49" s="230"/>
      <c r="B49" s="40"/>
      <c r="D49" s="40"/>
      <c r="E49" s="40"/>
      <c r="F49" s="40"/>
      <c r="G49" s="171" t="s">
        <v>1459</v>
      </c>
      <c r="H49" s="48"/>
      <c r="I49" s="40"/>
      <c r="J49" s="21"/>
      <c r="K49" s="40"/>
      <c r="L49" s="127" t="s">
        <v>1177</v>
      </c>
      <c r="M49" s="125"/>
      <c r="N49" s="126"/>
      <c r="O49" s="128"/>
      <c r="P49" s="125"/>
      <c r="Q49" s="40"/>
      <c r="R49" s="40"/>
      <c r="S49" s="114" t="s">
        <v>423</v>
      </c>
      <c r="T49" s="40"/>
      <c r="U49" s="40"/>
      <c r="V49" s="48"/>
      <c r="W49" s="40"/>
      <c r="X49" s="40"/>
      <c r="Y49" s="133" t="s">
        <v>1181</v>
      </c>
      <c r="Z49" s="40"/>
      <c r="AA49" s="40"/>
      <c r="AB49" s="40"/>
      <c r="AC49" s="48"/>
      <c r="AD49" s="40"/>
      <c r="AE49" s="40"/>
      <c r="AF49" s="40"/>
      <c r="AG49" s="40"/>
      <c r="AH49" s="22" t="s">
        <v>1171</v>
      </c>
      <c r="AI49" s="21"/>
      <c r="AJ49" s="48"/>
      <c r="AK49" s="58"/>
      <c r="AL49" s="61"/>
    </row>
    <row r="50" spans="1:40" s="11" customFormat="1" ht="14.25" customHeight="1">
      <c r="A50" s="230"/>
      <c r="B50" s="40"/>
      <c r="C50" s="22"/>
      <c r="D50" s="40"/>
      <c r="E50" s="40"/>
      <c r="F50" s="40"/>
      <c r="G50" s="171" t="s">
        <v>1460</v>
      </c>
      <c r="H50" s="48"/>
      <c r="I50" s="40"/>
      <c r="J50" s="21"/>
      <c r="K50" s="40"/>
      <c r="L50" s="127" t="s">
        <v>1178</v>
      </c>
      <c r="M50" s="125"/>
      <c r="N50" s="126"/>
      <c r="O50" s="128"/>
      <c r="P50" s="125"/>
      <c r="Q50" s="40"/>
      <c r="R50" s="40"/>
      <c r="S50" s="114" t="s">
        <v>424</v>
      </c>
      <c r="T50" s="40"/>
      <c r="U50" s="40"/>
      <c r="V50" s="48"/>
      <c r="W50" s="40"/>
      <c r="X50" s="40"/>
      <c r="Y50" s="133" t="s">
        <v>1182</v>
      </c>
      <c r="Z50" s="40"/>
      <c r="AA50" s="40"/>
      <c r="AB50" s="40"/>
      <c r="AC50" s="48"/>
      <c r="AD50" s="40"/>
      <c r="AE50" s="40"/>
      <c r="AF50" s="40"/>
      <c r="AG50" s="40"/>
      <c r="AH50" s="50" t="s">
        <v>1153</v>
      </c>
      <c r="AI50" s="21"/>
      <c r="AJ50" s="48"/>
      <c r="AK50" s="58"/>
      <c r="AL50" s="61"/>
    </row>
    <row r="51" spans="1:40" s="11" customFormat="1" ht="14.25" customHeight="1">
      <c r="A51" s="230"/>
      <c r="B51" s="40"/>
      <c r="C51" s="22"/>
      <c r="D51" s="40"/>
      <c r="E51" s="40"/>
      <c r="F51" s="40"/>
      <c r="G51" s="171" t="s">
        <v>1461</v>
      </c>
      <c r="H51" s="48"/>
      <c r="I51" s="40"/>
      <c r="J51" s="21"/>
      <c r="K51" s="40"/>
      <c r="L51" s="127" t="s">
        <v>1179</v>
      </c>
      <c r="M51" s="125"/>
      <c r="N51" s="126"/>
      <c r="O51" s="128"/>
      <c r="P51" s="125"/>
      <c r="Q51" s="40"/>
      <c r="R51" s="40"/>
      <c r="S51" s="114" t="s">
        <v>425</v>
      </c>
      <c r="T51" s="40"/>
      <c r="U51" s="40"/>
      <c r="V51" s="48"/>
      <c r="W51" s="40"/>
      <c r="X51" s="40"/>
      <c r="Y51" s="133" t="s">
        <v>1183</v>
      </c>
      <c r="Z51" s="40"/>
      <c r="AA51" s="40"/>
      <c r="AB51" s="40"/>
      <c r="AC51" s="48"/>
      <c r="AE51" s="40"/>
      <c r="AF51" s="40"/>
      <c r="AG51" s="40"/>
      <c r="AH51" s="22" t="s">
        <v>1187</v>
      </c>
      <c r="AI51" s="21"/>
      <c r="AJ51" s="48"/>
      <c r="AK51" s="58"/>
      <c r="AL51" s="61"/>
    </row>
    <row r="52" spans="1:40" s="11" customFormat="1" ht="14.25" customHeight="1">
      <c r="A52" s="230"/>
      <c r="B52" s="40"/>
      <c r="C52" s="22"/>
      <c r="D52" s="40"/>
      <c r="E52" s="40"/>
      <c r="F52" s="40"/>
      <c r="G52" s="171" t="s">
        <v>1462</v>
      </c>
      <c r="H52" s="48"/>
      <c r="I52" s="40"/>
      <c r="J52" s="21"/>
      <c r="K52" s="40"/>
      <c r="L52" s="127" t="s">
        <v>1180</v>
      </c>
      <c r="M52" s="125"/>
      <c r="N52" s="126"/>
      <c r="O52" s="128"/>
      <c r="P52" s="125"/>
      <c r="Q52" s="40"/>
      <c r="R52" s="40"/>
      <c r="S52" s="114" t="s">
        <v>428</v>
      </c>
      <c r="T52" s="40"/>
      <c r="U52" s="40"/>
      <c r="V52" s="48"/>
      <c r="W52" s="40"/>
      <c r="X52" s="40"/>
      <c r="Y52" s="22" t="s">
        <v>1040</v>
      </c>
      <c r="Z52" s="40"/>
      <c r="AA52" s="40"/>
      <c r="AB52" s="40"/>
      <c r="AC52" s="48"/>
      <c r="AD52" s="40"/>
      <c r="AE52" s="40"/>
      <c r="AF52" s="40"/>
      <c r="AG52" s="40"/>
      <c r="AH52" s="22" t="s">
        <v>1188</v>
      </c>
      <c r="AI52" s="21"/>
      <c r="AJ52" s="48"/>
      <c r="AK52" s="58"/>
      <c r="AL52" s="61"/>
      <c r="AN52" s="167"/>
    </row>
    <row r="53" spans="1:40" s="11" customFormat="1" ht="14.25" customHeight="1">
      <c r="A53" s="230"/>
      <c r="B53" s="40"/>
      <c r="C53" s="40"/>
      <c r="D53" s="40"/>
      <c r="E53" s="40"/>
      <c r="F53" s="40"/>
      <c r="G53" s="171" t="s">
        <v>1463</v>
      </c>
      <c r="H53" s="48"/>
      <c r="I53" s="40"/>
      <c r="J53" s="21"/>
      <c r="K53" s="40"/>
      <c r="L53" s="127" t="s">
        <v>1236</v>
      </c>
      <c r="M53" s="125"/>
      <c r="N53" s="126"/>
      <c r="O53" s="128"/>
      <c r="P53" s="125"/>
      <c r="Q53" s="40"/>
      <c r="R53" s="40"/>
      <c r="S53" s="113" t="s">
        <v>436</v>
      </c>
      <c r="T53" s="40"/>
      <c r="U53" s="40"/>
      <c r="V53" s="48"/>
      <c r="W53" s="40"/>
      <c r="X53" s="40"/>
      <c r="Y53" s="50" t="s">
        <v>1153</v>
      </c>
      <c r="Z53" s="40"/>
      <c r="AA53" s="40"/>
      <c r="AB53" s="40"/>
      <c r="AC53" s="48"/>
      <c r="AD53" s="40"/>
      <c r="AE53" s="40"/>
      <c r="AF53" s="40"/>
      <c r="AG53" s="40"/>
      <c r="AH53" s="105" t="s">
        <v>1315</v>
      </c>
      <c r="AI53" s="21"/>
      <c r="AJ53" s="48"/>
      <c r="AK53" s="58"/>
      <c r="AL53" s="61"/>
    </row>
    <row r="54" spans="1:40" s="11" customFormat="1" ht="14.25" customHeight="1">
      <c r="A54" s="230"/>
      <c r="B54" s="168" t="s">
        <v>1316</v>
      </c>
      <c r="C54" s="40"/>
      <c r="D54" s="40"/>
      <c r="E54" s="40"/>
      <c r="F54" s="40"/>
      <c r="G54" s="171" t="s">
        <v>1464</v>
      </c>
      <c r="H54" s="48"/>
      <c r="I54" s="40"/>
      <c r="J54" s="21"/>
      <c r="K54" s="40"/>
      <c r="L54" s="22" t="s">
        <v>1291</v>
      </c>
      <c r="M54" s="125"/>
      <c r="N54" s="126"/>
      <c r="O54" s="128"/>
      <c r="P54" s="125"/>
      <c r="Q54" s="40"/>
      <c r="R54" s="40"/>
      <c r="S54" s="113" t="s">
        <v>437</v>
      </c>
      <c r="T54" s="40"/>
      <c r="U54" s="40"/>
      <c r="V54" s="48"/>
      <c r="W54" s="40"/>
      <c r="X54" s="40"/>
      <c r="Y54" s="22" t="s">
        <v>1146</v>
      </c>
      <c r="Z54" s="40"/>
      <c r="AA54" s="40"/>
      <c r="AB54" s="40"/>
      <c r="AC54" s="48"/>
      <c r="AD54" s="40"/>
      <c r="AE54" s="40"/>
      <c r="AF54" s="40"/>
      <c r="AG54" s="40"/>
      <c r="AH54" s="40"/>
      <c r="AI54" s="21"/>
      <c r="AJ54" s="48"/>
      <c r="AK54" s="58"/>
      <c r="AL54" s="61"/>
    </row>
    <row r="55" spans="1:40" s="11" customFormat="1" ht="14.25" customHeight="1">
      <c r="A55" s="230"/>
      <c r="B55" s="22"/>
      <c r="C55" s="40"/>
      <c r="D55" s="50"/>
      <c r="E55" s="40"/>
      <c r="F55" s="40"/>
      <c r="G55" s="171" t="s">
        <v>1465</v>
      </c>
      <c r="H55" s="48"/>
      <c r="I55" s="40"/>
      <c r="J55" s="21"/>
      <c r="K55" s="40"/>
      <c r="L55" s="22" t="s">
        <v>1292</v>
      </c>
      <c r="M55" s="125"/>
      <c r="N55" s="126"/>
      <c r="O55" s="128"/>
      <c r="P55" s="125"/>
      <c r="Q55" s="40"/>
      <c r="R55" s="40"/>
      <c r="S55" s="110" t="s">
        <v>1173</v>
      </c>
      <c r="T55" s="40"/>
      <c r="U55" s="40"/>
      <c r="V55" s="48"/>
      <c r="W55" s="40"/>
      <c r="X55" s="40"/>
      <c r="Y55" s="50" t="s">
        <v>400</v>
      </c>
      <c r="Z55" s="40"/>
      <c r="AA55" s="40"/>
      <c r="AB55" s="40"/>
      <c r="AC55" s="48"/>
      <c r="AD55" s="40"/>
      <c r="AE55" s="40"/>
      <c r="AF55" s="40"/>
      <c r="AG55" s="40"/>
      <c r="AH55" s="40"/>
      <c r="AI55" s="21"/>
      <c r="AJ55" s="48"/>
      <c r="AK55" s="58"/>
      <c r="AL55" s="61"/>
    </row>
    <row r="56" spans="1:40" s="11" customFormat="1" ht="14.25" customHeight="1">
      <c r="A56" s="230"/>
      <c r="B56" s="22"/>
      <c r="C56" s="40"/>
      <c r="D56" s="40"/>
      <c r="E56" s="40"/>
      <c r="F56" s="40"/>
      <c r="G56" s="203" t="s">
        <v>409</v>
      </c>
      <c r="H56" s="48"/>
      <c r="I56" s="40"/>
      <c r="J56" s="21"/>
      <c r="K56" s="40"/>
      <c r="L56" s="113" t="s">
        <v>1285</v>
      </c>
      <c r="M56" s="40"/>
      <c r="N56" s="21"/>
      <c r="O56" s="48"/>
      <c r="P56" s="40"/>
      <c r="Q56" s="40"/>
      <c r="R56" s="40"/>
      <c r="S56" s="22" t="s">
        <v>429</v>
      </c>
      <c r="T56" s="40"/>
      <c r="U56" s="40"/>
      <c r="V56" s="48"/>
      <c r="W56" s="40"/>
      <c r="X56" s="40"/>
      <c r="Y56" s="22" t="s">
        <v>1037</v>
      </c>
      <c r="Z56" s="40"/>
      <c r="AA56" s="40"/>
      <c r="AB56" s="40"/>
      <c r="AC56" s="48"/>
      <c r="AD56" s="40"/>
      <c r="AE56" s="40"/>
      <c r="AF56" s="40"/>
      <c r="AG56" s="40"/>
      <c r="AH56" s="40"/>
      <c r="AI56" s="21"/>
      <c r="AJ56" s="231">
        <f>+SUM(B66:AL66)</f>
        <v>36883</v>
      </c>
      <c r="AK56" s="232"/>
      <c r="AL56" s="23" t="s">
        <v>1</v>
      </c>
    </row>
    <row r="57" spans="1:40" s="11" customFormat="1" ht="14.25" customHeight="1">
      <c r="A57" s="230"/>
      <c r="B57" s="22"/>
      <c r="C57" s="40"/>
      <c r="D57" s="40"/>
      <c r="F57" s="40"/>
      <c r="G57" s="171" t="s">
        <v>1466</v>
      </c>
      <c r="H57" s="48"/>
      <c r="I57" s="40"/>
      <c r="J57" s="21"/>
      <c r="K57" s="40"/>
      <c r="L57" s="113" t="s">
        <v>1286</v>
      </c>
      <c r="M57" s="40"/>
      <c r="N57" s="21"/>
      <c r="O57" s="48"/>
      <c r="P57" s="40"/>
      <c r="Q57" s="40"/>
      <c r="R57" s="40"/>
      <c r="S57" s="22" t="s">
        <v>430</v>
      </c>
      <c r="T57" s="40"/>
      <c r="U57" s="40"/>
      <c r="V57" s="48"/>
      <c r="W57" s="40"/>
      <c r="X57" s="40"/>
      <c r="Y57" s="22" t="s">
        <v>1041</v>
      </c>
      <c r="Z57" s="40"/>
      <c r="AA57" s="40"/>
      <c r="AB57" s="40"/>
      <c r="AC57" s="48"/>
      <c r="AD57" s="40"/>
      <c r="AE57" s="40"/>
      <c r="AF57" s="40"/>
      <c r="AG57" s="40"/>
      <c r="AH57" s="40"/>
      <c r="AI57" s="21"/>
      <c r="AJ57" s="48"/>
      <c r="AK57" s="58"/>
      <c r="AL57" s="61"/>
    </row>
    <row r="58" spans="1:40" s="11" customFormat="1" ht="14.25" customHeight="1">
      <c r="A58" s="230"/>
      <c r="B58" s="22"/>
      <c r="C58" s="40"/>
      <c r="D58" s="40"/>
      <c r="F58" s="40"/>
      <c r="G58" s="171" t="s">
        <v>1467</v>
      </c>
      <c r="H58" s="48"/>
      <c r="I58" s="40"/>
      <c r="J58" s="21"/>
      <c r="K58" s="40"/>
      <c r="L58" s="113" t="s">
        <v>1287</v>
      </c>
      <c r="M58" s="40"/>
      <c r="N58" s="21"/>
      <c r="O58" s="48"/>
      <c r="P58" s="40"/>
      <c r="Q58" s="40"/>
      <c r="R58" s="40"/>
      <c r="S58" s="22" t="s">
        <v>431</v>
      </c>
      <c r="T58" s="40"/>
      <c r="U58" s="40"/>
      <c r="V58" s="48"/>
      <c r="W58" s="40"/>
      <c r="X58" s="40"/>
      <c r="Y58" s="22" t="s">
        <v>1038</v>
      </c>
      <c r="Z58" s="40"/>
      <c r="AA58" s="40"/>
      <c r="AB58" s="40"/>
      <c r="AC58" s="48"/>
      <c r="AD58" s="40"/>
      <c r="AE58" s="40"/>
      <c r="AF58" s="40"/>
      <c r="AG58" s="40"/>
      <c r="AH58" s="21"/>
      <c r="AI58" s="21"/>
      <c r="AJ58" s="48"/>
      <c r="AK58" s="40"/>
      <c r="AL58" s="61"/>
    </row>
    <row r="59" spans="1:40" s="11" customFormat="1" ht="14.25" customHeight="1">
      <c r="A59" s="230"/>
      <c r="C59" s="40"/>
      <c r="D59" s="40"/>
      <c r="F59" s="40"/>
      <c r="G59" s="171" t="s">
        <v>1468</v>
      </c>
      <c r="H59" s="48"/>
      <c r="I59" s="40"/>
      <c r="J59" s="21"/>
      <c r="K59" s="40"/>
      <c r="L59" s="113" t="s">
        <v>1288</v>
      </c>
      <c r="M59" s="40"/>
      <c r="N59" s="21"/>
      <c r="O59" s="48"/>
      <c r="P59" s="40"/>
      <c r="Q59" s="40"/>
      <c r="R59" s="40"/>
      <c r="S59" s="22" t="s">
        <v>439</v>
      </c>
      <c r="T59" s="40"/>
      <c r="U59" s="40"/>
      <c r="V59" s="48"/>
      <c r="W59" s="40"/>
      <c r="X59" s="40"/>
      <c r="Y59" s="22" t="s">
        <v>1045</v>
      </c>
      <c r="Z59" s="40"/>
      <c r="AA59" s="40"/>
      <c r="AB59" s="40"/>
      <c r="AC59" s="48"/>
      <c r="AD59" s="40"/>
      <c r="AE59" s="40"/>
      <c r="AF59" s="40"/>
      <c r="AG59" s="40"/>
      <c r="AH59" s="21"/>
      <c r="AI59" s="21"/>
      <c r="AJ59" s="48"/>
      <c r="AK59" s="40"/>
      <c r="AL59" s="61"/>
    </row>
    <row r="60" spans="1:40" s="11" customFormat="1" ht="14.25" customHeight="1">
      <c r="A60" s="230"/>
      <c r="B60" s="22"/>
      <c r="C60" s="55"/>
      <c r="D60" s="40"/>
      <c r="E60" s="40"/>
      <c r="F60" s="40"/>
      <c r="G60" s="195" t="s">
        <v>1365</v>
      </c>
      <c r="H60" s="48"/>
      <c r="I60" s="40"/>
      <c r="J60" s="21"/>
      <c r="K60" s="40"/>
      <c r="L60" s="124" t="s">
        <v>1289</v>
      </c>
      <c r="M60" s="40"/>
      <c r="N60" s="21"/>
      <c r="O60" s="48"/>
      <c r="P60" s="40"/>
      <c r="Q60" s="40"/>
      <c r="R60" s="40"/>
      <c r="S60" s="40"/>
      <c r="T60" s="40"/>
      <c r="U60" s="40"/>
      <c r="V60" s="48"/>
      <c r="W60" s="40"/>
      <c r="X60" s="40"/>
      <c r="Y60" s="22" t="s">
        <v>1046</v>
      </c>
      <c r="Z60" s="50"/>
      <c r="AA60" s="40"/>
      <c r="AB60" s="40"/>
      <c r="AC60" s="48"/>
      <c r="AD60" s="40"/>
      <c r="AE60" s="40"/>
      <c r="AF60" s="40"/>
      <c r="AG60" s="40"/>
      <c r="AH60" s="21"/>
      <c r="AI60" s="21"/>
      <c r="AJ60" s="48"/>
      <c r="AL60" s="61"/>
    </row>
    <row r="61" spans="1:40" s="11" customFormat="1" ht="14.25" customHeight="1">
      <c r="A61" s="230"/>
      <c r="B61" s="40"/>
      <c r="C61" s="40"/>
      <c r="D61" s="40"/>
      <c r="E61" s="40"/>
      <c r="F61" s="21"/>
      <c r="G61" s="22" t="s">
        <v>709</v>
      </c>
      <c r="H61" s="48"/>
      <c r="I61" s="40"/>
      <c r="J61" s="21"/>
      <c r="K61" s="40"/>
      <c r="L61" s="124" t="s">
        <v>1290</v>
      </c>
      <c r="M61" s="40"/>
      <c r="N61" s="21"/>
      <c r="O61" s="48"/>
      <c r="P61" s="40"/>
      <c r="Q61" s="40"/>
      <c r="S61" s="40"/>
      <c r="T61" s="40"/>
      <c r="U61" s="40"/>
      <c r="V61" s="48"/>
      <c r="W61" s="40"/>
      <c r="X61" s="40"/>
      <c r="Y61" s="22" t="s">
        <v>1044</v>
      </c>
      <c r="Z61" s="40"/>
      <c r="AA61" s="40"/>
      <c r="AB61" s="40"/>
      <c r="AC61" s="48"/>
      <c r="AD61" s="40"/>
      <c r="AE61" s="40"/>
      <c r="AF61" s="40"/>
      <c r="AG61" s="40"/>
      <c r="AH61" s="21"/>
      <c r="AI61" s="21"/>
      <c r="AJ61" s="48"/>
      <c r="AK61" s="58"/>
      <c r="AL61" s="61"/>
    </row>
    <row r="62" spans="1:40" s="11" customFormat="1" ht="14.25" customHeight="1">
      <c r="A62" s="230"/>
      <c r="B62" s="22"/>
      <c r="C62" s="22"/>
      <c r="D62" s="40"/>
      <c r="E62" s="40"/>
      <c r="F62" s="21"/>
      <c r="G62" s="22" t="s">
        <v>710</v>
      </c>
      <c r="H62" s="48"/>
      <c r="I62" s="40"/>
      <c r="J62" s="21"/>
      <c r="K62" s="40"/>
      <c r="L62" s="21"/>
      <c r="M62" s="40"/>
      <c r="N62" s="21"/>
      <c r="O62" s="48"/>
      <c r="P62" s="40"/>
      <c r="Q62" s="40"/>
      <c r="R62" s="40"/>
      <c r="S62" s="40"/>
      <c r="T62" s="40"/>
      <c r="U62" s="40"/>
      <c r="V62" s="48"/>
      <c r="W62" s="40"/>
      <c r="X62" s="40"/>
      <c r="Y62" s="50" t="s">
        <v>409</v>
      </c>
      <c r="Z62" s="40"/>
      <c r="AA62" s="40"/>
      <c r="AB62" s="40"/>
      <c r="AC62" s="48"/>
      <c r="AD62" s="40"/>
      <c r="AE62" s="40"/>
      <c r="AF62" s="40"/>
      <c r="AG62" s="40"/>
      <c r="AH62" s="21"/>
      <c r="AI62" s="21"/>
      <c r="AJ62" s="48"/>
      <c r="AK62" s="58"/>
      <c r="AL62" s="61"/>
    </row>
    <row r="63" spans="1:40" s="11" customFormat="1" ht="14.25" customHeight="1">
      <c r="A63" s="230"/>
      <c r="B63" s="22"/>
      <c r="C63" s="22"/>
      <c r="D63" s="40"/>
      <c r="E63" s="40"/>
      <c r="F63" s="21"/>
      <c r="G63" s="22" t="s">
        <v>711</v>
      </c>
      <c r="H63" s="48"/>
      <c r="I63" s="40"/>
      <c r="J63" s="21"/>
      <c r="L63" s="21"/>
      <c r="M63" s="40"/>
      <c r="N63" s="21"/>
      <c r="O63" s="48"/>
      <c r="P63" s="40"/>
      <c r="Q63" s="40"/>
      <c r="R63" s="40"/>
      <c r="S63" s="40"/>
      <c r="T63" s="40"/>
      <c r="U63" s="40"/>
      <c r="V63" s="48"/>
      <c r="W63" s="40"/>
      <c r="X63" s="40"/>
      <c r="Y63" s="22" t="s">
        <v>410</v>
      </c>
      <c r="Z63" s="40"/>
      <c r="AA63" s="40"/>
      <c r="AB63" s="40"/>
      <c r="AC63" s="48"/>
      <c r="AD63" s="40"/>
      <c r="AE63" s="40"/>
      <c r="AF63" s="40"/>
      <c r="AG63" s="40"/>
      <c r="AH63" s="21"/>
      <c r="AI63" s="97" t="s">
        <v>1077</v>
      </c>
      <c r="AJ63" s="48"/>
      <c r="AK63" s="58"/>
      <c r="AL63" s="61"/>
    </row>
    <row r="64" spans="1:40" s="11" customFormat="1" ht="15" customHeight="1">
      <c r="A64" s="230"/>
      <c r="B64" s="22"/>
      <c r="C64" s="22"/>
      <c r="D64" s="40"/>
      <c r="E64" s="40"/>
      <c r="F64" s="21"/>
      <c r="G64" s="22" t="s">
        <v>713</v>
      </c>
      <c r="H64" s="98"/>
      <c r="I64" s="40"/>
      <c r="J64" s="21"/>
      <c r="L64" s="21"/>
      <c r="M64" s="40"/>
      <c r="N64" s="21"/>
      <c r="O64" s="48"/>
      <c r="P64" s="40"/>
      <c r="Q64" s="40"/>
      <c r="R64" s="40"/>
      <c r="S64" s="40"/>
      <c r="T64" s="40"/>
      <c r="U64" s="40"/>
      <c r="V64" s="98"/>
      <c r="W64" s="40"/>
      <c r="X64" s="40"/>
      <c r="Y64" s="22"/>
      <c r="Z64" s="40"/>
      <c r="AA64" s="40"/>
      <c r="AB64" s="40"/>
      <c r="AC64" s="98"/>
      <c r="AD64" s="40"/>
      <c r="AE64" s="40"/>
      <c r="AF64" s="40"/>
      <c r="AG64" s="40"/>
      <c r="AH64" s="21"/>
      <c r="AI64" s="97"/>
      <c r="AJ64" s="48"/>
      <c r="AK64" s="58"/>
      <c r="AL64" s="61"/>
    </row>
    <row r="65" spans="1:39" s="11" customFormat="1" ht="15" customHeight="1">
      <c r="A65" s="230"/>
      <c r="B65" s="22"/>
      <c r="C65" s="22"/>
      <c r="D65" s="40"/>
      <c r="E65" s="40"/>
      <c r="F65" s="21"/>
      <c r="G65" s="21"/>
      <c r="H65" s="98"/>
      <c r="I65" s="40"/>
      <c r="J65" s="21"/>
      <c r="L65" s="21"/>
      <c r="M65" s="40"/>
      <c r="N65" s="21"/>
      <c r="O65" s="48"/>
      <c r="P65" s="40"/>
      <c r="Q65" s="40"/>
      <c r="R65" s="40"/>
      <c r="S65" s="40"/>
      <c r="T65" s="40"/>
      <c r="U65" s="40"/>
      <c r="V65" s="98"/>
      <c r="W65" s="40"/>
      <c r="X65" s="40"/>
      <c r="Y65" s="22"/>
      <c r="Z65" s="40"/>
      <c r="AA65" s="40"/>
      <c r="AB65" s="40"/>
      <c r="AC65" s="98"/>
      <c r="AD65" s="40"/>
      <c r="AE65" s="40"/>
      <c r="AF65" s="40"/>
      <c r="AG65" s="40"/>
      <c r="AH65" s="21"/>
      <c r="AI65" s="97"/>
      <c r="AJ65" s="48"/>
      <c r="AK65" s="58"/>
      <c r="AL65" s="61"/>
    </row>
    <row r="66" spans="1:39" s="11" customFormat="1" ht="16.5" customHeight="1">
      <c r="A66" s="230"/>
      <c r="B66" s="24"/>
      <c r="C66" s="56"/>
      <c r="D66" s="24"/>
      <c r="E66" s="56"/>
      <c r="F66" s="24"/>
      <c r="G66" s="233">
        <f>649+572+532+760+876+289+282+430+20+673+559+525+308+490+196+100+324</f>
        <v>7585</v>
      </c>
      <c r="H66" s="234"/>
      <c r="I66" s="24"/>
      <c r="J66" s="56"/>
      <c r="K66" s="24"/>
      <c r="L66" s="233">
        <f>532+860+135+412+108+300+632+300+1448+683+153+100+410+498+505+188</f>
        <v>7264</v>
      </c>
      <c r="M66" s="234"/>
      <c r="N66" s="24"/>
      <c r="O66" s="25"/>
      <c r="P66" s="56"/>
      <c r="Q66" s="24"/>
      <c r="R66" s="242">
        <f>604+800+120+498+336+100+370+239+710+710+1860+640+1</f>
        <v>6988</v>
      </c>
      <c r="S66" s="243"/>
      <c r="T66" s="24"/>
      <c r="U66" s="24"/>
      <c r="V66" s="56"/>
      <c r="W66" s="24"/>
      <c r="X66" s="24"/>
      <c r="Y66" s="233">
        <f>236+100+796+350+585+686+4418+2+620+130+100+598+331+300+698</f>
        <v>9950</v>
      </c>
      <c r="Z66" s="234"/>
      <c r="AA66" s="24"/>
      <c r="AB66" s="24"/>
      <c r="AC66" s="56"/>
      <c r="AD66" s="24"/>
      <c r="AE66" s="24"/>
      <c r="AF66" s="24"/>
      <c r="AG66" s="24"/>
      <c r="AH66" s="56">
        <f>638+530+330+741+2301+556</f>
        <v>5096</v>
      </c>
      <c r="AI66" s="56"/>
      <c r="AJ66" s="24"/>
      <c r="AK66" s="24"/>
      <c r="AL66" s="64"/>
    </row>
    <row r="67" spans="1:39" s="11" customFormat="1" ht="2.25" customHeight="1">
      <c r="A67" s="230"/>
      <c r="B67" s="27"/>
      <c r="C67" s="27"/>
      <c r="D67" s="27"/>
      <c r="E67" s="28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30"/>
    </row>
    <row r="68" spans="1:39" s="11" customFormat="1" ht="19.5" customHeight="1">
      <c r="A68" s="230"/>
      <c r="B68" s="16"/>
      <c r="C68" s="16"/>
      <c r="D68" s="16"/>
      <c r="E68" s="16"/>
      <c r="F68" s="16">
        <v>1600</v>
      </c>
      <c r="G68" s="16">
        <v>1160</v>
      </c>
      <c r="H68" s="25"/>
      <c r="I68" s="16">
        <v>1160</v>
      </c>
      <c r="J68" s="16">
        <v>1600</v>
      </c>
      <c r="K68" s="16">
        <v>1600</v>
      </c>
      <c r="L68" s="16">
        <v>1600</v>
      </c>
      <c r="M68" s="68">
        <v>1440</v>
      </c>
      <c r="N68" s="16">
        <v>1160</v>
      </c>
      <c r="O68" s="25"/>
      <c r="P68" s="16">
        <v>1160</v>
      </c>
      <c r="Q68" s="16">
        <v>1380</v>
      </c>
      <c r="R68" s="16">
        <v>1380</v>
      </c>
      <c r="S68" s="16">
        <v>1380</v>
      </c>
      <c r="T68" s="16">
        <v>1380</v>
      </c>
      <c r="U68" s="16">
        <v>1380</v>
      </c>
      <c r="V68" s="25"/>
      <c r="W68" s="16">
        <v>1380</v>
      </c>
      <c r="X68" s="68">
        <v>1040</v>
      </c>
      <c r="Y68" s="16">
        <v>1160</v>
      </c>
      <c r="Z68" s="16">
        <v>1160</v>
      </c>
      <c r="AA68" s="68">
        <v>1040</v>
      </c>
      <c r="AB68" s="16">
        <v>1160</v>
      </c>
      <c r="AC68" s="25"/>
      <c r="AD68" s="16">
        <v>1160</v>
      </c>
      <c r="AE68" s="16">
        <v>1160</v>
      </c>
      <c r="AF68" s="16">
        <v>1160</v>
      </c>
      <c r="AG68" s="16">
        <v>1160</v>
      </c>
      <c r="AH68" s="16">
        <v>1160</v>
      </c>
      <c r="AI68" s="16"/>
      <c r="AJ68" s="25"/>
      <c r="AK68" s="16"/>
      <c r="AL68" s="129"/>
      <c r="AM68" s="17">
        <f>+SUM(B68:AL68)</f>
        <v>32120</v>
      </c>
    </row>
    <row r="69" spans="1:39" s="17" customFormat="1" ht="19.5" customHeight="1">
      <c r="A69" s="230"/>
      <c r="B69" s="122">
        <v>11</v>
      </c>
      <c r="C69" s="122">
        <v>11</v>
      </c>
      <c r="D69" s="122">
        <v>11</v>
      </c>
      <c r="E69" s="122">
        <v>11</v>
      </c>
      <c r="F69" s="122">
        <v>8</v>
      </c>
      <c r="G69" s="122">
        <v>8</v>
      </c>
      <c r="H69" s="25"/>
      <c r="I69" s="192">
        <v>11</v>
      </c>
      <c r="J69" s="192">
        <v>11</v>
      </c>
      <c r="K69" s="192">
        <v>11</v>
      </c>
      <c r="L69" s="192">
        <v>11</v>
      </c>
      <c r="M69" s="192">
        <v>8</v>
      </c>
      <c r="N69" s="192">
        <v>8</v>
      </c>
      <c r="O69" s="25"/>
      <c r="P69" s="18">
        <v>9.5</v>
      </c>
      <c r="Q69" s="18">
        <v>9.5</v>
      </c>
      <c r="R69" s="18">
        <v>9.5</v>
      </c>
      <c r="S69" s="18">
        <v>9.5</v>
      </c>
      <c r="T69" s="18">
        <v>9.5</v>
      </c>
      <c r="U69" s="18">
        <v>9.5</v>
      </c>
      <c r="V69" s="25"/>
      <c r="W69" s="18">
        <v>8</v>
      </c>
      <c r="X69" s="18">
        <v>8</v>
      </c>
      <c r="Y69" s="18">
        <v>8</v>
      </c>
      <c r="Z69" s="18">
        <v>8</v>
      </c>
      <c r="AA69" s="18">
        <v>8</v>
      </c>
      <c r="AB69" s="18">
        <v>8</v>
      </c>
      <c r="AC69" s="25"/>
      <c r="AD69" s="18">
        <v>8</v>
      </c>
      <c r="AE69" s="18">
        <v>8</v>
      </c>
      <c r="AF69" s="18">
        <v>8</v>
      </c>
      <c r="AG69" s="18">
        <v>8</v>
      </c>
      <c r="AH69" s="18">
        <v>8</v>
      </c>
      <c r="AI69" s="18"/>
      <c r="AJ69" s="25"/>
      <c r="AK69" s="18"/>
      <c r="AL69" s="130"/>
    </row>
    <row r="70" spans="1:39" s="17" customFormat="1" ht="17.25" customHeight="1">
      <c r="A70" s="230"/>
      <c r="B70" s="41"/>
      <c r="C70" s="41"/>
      <c r="D70" s="41"/>
      <c r="E70" s="41"/>
      <c r="F70" s="41"/>
      <c r="G70" s="41"/>
      <c r="H70" s="25"/>
      <c r="I70" s="41"/>
      <c r="J70" s="41"/>
      <c r="K70" s="80" t="s">
        <v>345</v>
      </c>
      <c r="L70" s="41"/>
      <c r="M70" s="80" t="s">
        <v>345</v>
      </c>
      <c r="N70" s="41"/>
      <c r="O70" s="25"/>
      <c r="P70" s="41"/>
      <c r="Q70" s="80"/>
      <c r="R70" s="80"/>
      <c r="S70" s="41"/>
      <c r="T70" s="41"/>
      <c r="U70" s="41"/>
      <c r="V70" s="25"/>
      <c r="W70" s="80"/>
      <c r="X70" s="80" t="s">
        <v>345</v>
      </c>
      <c r="Y70" s="80"/>
      <c r="Z70" s="80"/>
      <c r="AA70" s="80" t="s">
        <v>345</v>
      </c>
      <c r="AB70" s="41"/>
      <c r="AC70" s="25"/>
      <c r="AD70" s="41"/>
      <c r="AE70" s="41"/>
      <c r="AF70" s="41"/>
      <c r="AG70" s="41"/>
      <c r="AH70" s="41"/>
      <c r="AI70" s="41"/>
      <c r="AJ70" s="25"/>
      <c r="AK70" s="41"/>
      <c r="AL70" s="173"/>
    </row>
    <row r="71" spans="1:39" s="17" customFormat="1" ht="17.25" customHeight="1">
      <c r="A71" s="230"/>
      <c r="B71" s="20"/>
      <c r="C71" s="20"/>
      <c r="D71" s="20"/>
      <c r="E71" s="20"/>
      <c r="F71" s="20"/>
      <c r="G71" s="20"/>
      <c r="H71" s="25"/>
      <c r="I71" s="20"/>
      <c r="J71" s="20"/>
      <c r="K71" s="82"/>
      <c r="L71" s="20"/>
      <c r="M71" s="20">
        <v>0.9</v>
      </c>
      <c r="N71" s="20"/>
      <c r="O71" s="25"/>
      <c r="P71" s="20"/>
      <c r="Q71" s="20"/>
      <c r="R71" s="20"/>
      <c r="S71" s="20"/>
      <c r="T71" s="20"/>
      <c r="U71" s="20"/>
      <c r="V71" s="25"/>
      <c r="W71" s="20"/>
      <c r="X71" s="20">
        <v>0.9</v>
      </c>
      <c r="Y71" s="20"/>
      <c r="Z71" s="20"/>
      <c r="AA71" s="20">
        <v>0.9</v>
      </c>
      <c r="AB71" s="20"/>
      <c r="AC71" s="25"/>
      <c r="AD71" s="20"/>
      <c r="AE71" s="20"/>
      <c r="AF71" s="20"/>
      <c r="AG71" s="20"/>
      <c r="AH71" s="20"/>
      <c r="AI71" s="20"/>
      <c r="AJ71" s="25"/>
      <c r="AK71" s="20"/>
      <c r="AL71" s="60"/>
    </row>
    <row r="72" spans="1:39" s="11" customFormat="1" ht="14.25" customHeight="1">
      <c r="A72" s="230"/>
      <c r="B72" s="46"/>
      <c r="C72" s="22"/>
      <c r="D72" s="22"/>
      <c r="E72" s="22"/>
      <c r="F72" s="203" t="s">
        <v>400</v>
      </c>
      <c r="H72" s="48"/>
      <c r="I72" s="40"/>
      <c r="J72" s="47"/>
      <c r="K72" s="50" t="s">
        <v>400</v>
      </c>
      <c r="L72" s="40"/>
      <c r="N72" s="47"/>
      <c r="O72" s="48"/>
      <c r="P72" s="40"/>
      <c r="R72" s="50" t="s">
        <v>400</v>
      </c>
      <c r="S72" s="22"/>
      <c r="U72" s="40"/>
      <c r="V72" s="48"/>
      <c r="W72" s="40"/>
      <c r="X72" s="50" t="s">
        <v>409</v>
      </c>
      <c r="Y72" s="40"/>
      <c r="AB72" s="40"/>
      <c r="AC72" s="48"/>
      <c r="AD72" s="22"/>
      <c r="AE72" s="22"/>
      <c r="AF72" s="22"/>
      <c r="AG72" s="40"/>
      <c r="AH72" s="22"/>
      <c r="AI72" s="22"/>
      <c r="AJ72" s="48"/>
      <c r="AK72" s="62"/>
      <c r="AL72" s="61"/>
    </row>
    <row r="73" spans="1:39" s="11" customFormat="1" ht="14.25" customHeight="1">
      <c r="A73" s="230"/>
      <c r="B73" s="22"/>
      <c r="C73" s="22"/>
      <c r="D73" s="22"/>
      <c r="E73" s="22"/>
      <c r="F73" s="171" t="s">
        <v>1456</v>
      </c>
      <c r="H73" s="48"/>
      <c r="I73" s="40"/>
      <c r="J73" s="21"/>
      <c r="K73" s="115" t="s">
        <v>426</v>
      </c>
      <c r="L73" s="40"/>
      <c r="M73" s="40"/>
      <c r="N73" s="21"/>
      <c r="O73" s="48"/>
      <c r="P73" s="40"/>
      <c r="Q73" s="40"/>
      <c r="R73" s="22" t="s">
        <v>1040</v>
      </c>
      <c r="S73" s="22"/>
      <c r="T73" s="40"/>
      <c r="U73" s="40"/>
      <c r="V73" s="48"/>
      <c r="W73" s="40"/>
      <c r="X73" s="22" t="s">
        <v>410</v>
      </c>
      <c r="Y73" s="40"/>
      <c r="Z73" s="40"/>
      <c r="AA73" s="40"/>
      <c r="AB73" s="40"/>
      <c r="AC73" s="48"/>
      <c r="AD73" s="22"/>
      <c r="AE73" s="22"/>
      <c r="AF73" s="22"/>
      <c r="AG73" s="40"/>
      <c r="AH73" s="22"/>
      <c r="AI73" s="22"/>
      <c r="AJ73" s="48"/>
      <c r="AK73" s="58"/>
      <c r="AL73" s="61"/>
    </row>
    <row r="74" spans="1:39" s="11" customFormat="1" ht="14.25" customHeight="1">
      <c r="A74" s="230"/>
      <c r="B74" s="22"/>
      <c r="C74" s="22"/>
      <c r="D74" s="22"/>
      <c r="E74" s="22"/>
      <c r="F74" s="171" t="s">
        <v>1457</v>
      </c>
      <c r="H74" s="48"/>
      <c r="I74" s="40"/>
      <c r="J74" s="21"/>
      <c r="K74" s="115" t="s">
        <v>427</v>
      </c>
      <c r="L74" s="40"/>
      <c r="M74" s="40"/>
      <c r="N74" s="21"/>
      <c r="O74" s="48"/>
      <c r="P74" s="40"/>
      <c r="Q74" s="40"/>
      <c r="R74" s="22" t="s">
        <v>1037</v>
      </c>
      <c r="S74" s="22"/>
      <c r="T74" s="40"/>
      <c r="U74" s="40"/>
      <c r="V74" s="48"/>
      <c r="W74" s="40"/>
      <c r="X74" s="117" t="s">
        <v>1153</v>
      </c>
      <c r="Y74" s="40"/>
      <c r="Z74" s="40"/>
      <c r="AA74" s="40"/>
      <c r="AB74" s="40"/>
      <c r="AC74" s="48"/>
      <c r="AD74" s="22"/>
      <c r="AE74" s="22"/>
      <c r="AF74" s="22"/>
      <c r="AG74" s="40"/>
      <c r="AH74" s="22"/>
      <c r="AI74" s="22"/>
      <c r="AJ74" s="48"/>
      <c r="AK74" s="58"/>
      <c r="AL74" s="61"/>
    </row>
    <row r="75" spans="1:39" s="11" customFormat="1" ht="14.25" customHeight="1">
      <c r="A75" s="230"/>
      <c r="B75" s="22"/>
      <c r="C75" s="22"/>
      <c r="D75" s="22"/>
      <c r="E75" s="22"/>
      <c r="F75" s="171" t="s">
        <v>1458</v>
      </c>
      <c r="H75" s="48"/>
      <c r="I75" s="40"/>
      <c r="J75" s="21"/>
      <c r="K75" s="114" t="s">
        <v>422</v>
      </c>
      <c r="L75" s="40"/>
      <c r="M75" s="40"/>
      <c r="N75" s="21"/>
      <c r="O75" s="48"/>
      <c r="P75" s="40"/>
      <c r="Q75" s="40"/>
      <c r="R75" s="22" t="s">
        <v>1041</v>
      </c>
      <c r="S75" s="22"/>
      <c r="T75" s="40"/>
      <c r="U75" s="40"/>
      <c r="V75" s="48"/>
      <c r="W75" s="40"/>
      <c r="X75" s="113" t="s">
        <v>1146</v>
      </c>
      <c r="Y75" s="40"/>
      <c r="Z75" s="40"/>
      <c r="AA75" s="40"/>
      <c r="AB75" s="40"/>
      <c r="AC75" s="48"/>
      <c r="AD75" s="22"/>
      <c r="AE75" s="22"/>
      <c r="AF75" s="22"/>
      <c r="AG75" s="40"/>
      <c r="AH75" s="22"/>
      <c r="AI75" s="22"/>
      <c r="AJ75" s="48"/>
      <c r="AK75" s="58"/>
      <c r="AL75" s="61"/>
    </row>
    <row r="76" spans="1:39" s="11" customFormat="1" ht="14.25" customHeight="1">
      <c r="A76" s="230"/>
      <c r="B76" s="22"/>
      <c r="C76" s="22"/>
      <c r="D76" s="22"/>
      <c r="E76" s="22"/>
      <c r="F76" s="171" t="s">
        <v>1459</v>
      </c>
      <c r="H76" s="48"/>
      <c r="I76" s="40"/>
      <c r="J76" s="21"/>
      <c r="K76" s="114" t="s">
        <v>423</v>
      </c>
      <c r="L76" s="40"/>
      <c r="M76" s="40"/>
      <c r="N76" s="21"/>
      <c r="O76" s="48"/>
      <c r="P76" s="40"/>
      <c r="Q76" s="40"/>
      <c r="R76" s="22" t="s">
        <v>1038</v>
      </c>
      <c r="S76" s="22"/>
      <c r="T76" s="40"/>
      <c r="U76" s="40"/>
      <c r="V76" s="48"/>
      <c r="W76" s="40"/>
      <c r="X76" s="113" t="s">
        <v>1187</v>
      </c>
      <c r="Y76" s="40"/>
      <c r="Z76" s="40"/>
      <c r="AA76" s="40"/>
      <c r="AB76" s="40"/>
      <c r="AC76" s="48"/>
      <c r="AD76" s="22"/>
      <c r="AE76" s="22"/>
      <c r="AF76" s="22"/>
      <c r="AG76" s="40"/>
      <c r="AH76" s="22"/>
      <c r="AI76" s="22"/>
      <c r="AJ76" s="48"/>
      <c r="AK76" s="58"/>
      <c r="AL76" s="61"/>
    </row>
    <row r="77" spans="1:39" s="11" customFormat="1" ht="14.25" customHeight="1">
      <c r="A77" s="230"/>
      <c r="B77" s="22"/>
      <c r="C77" s="22"/>
      <c r="D77" s="22"/>
      <c r="E77" s="22"/>
      <c r="F77" s="171" t="s">
        <v>1460</v>
      </c>
      <c r="H77" s="48"/>
      <c r="I77" s="40"/>
      <c r="J77" s="22"/>
      <c r="K77" s="114" t="s">
        <v>424</v>
      </c>
      <c r="L77" s="40"/>
      <c r="M77" s="40"/>
      <c r="N77" s="21"/>
      <c r="O77" s="48"/>
      <c r="P77" s="40"/>
      <c r="Q77" s="40"/>
      <c r="R77" s="22" t="s">
        <v>1045</v>
      </c>
      <c r="S77" s="58"/>
      <c r="T77" s="123"/>
      <c r="U77" s="123"/>
      <c r="V77" s="48"/>
      <c r="W77" s="40"/>
      <c r="X77" s="113" t="s">
        <v>1188</v>
      </c>
      <c r="Y77" s="40"/>
      <c r="Z77" s="40"/>
      <c r="AA77" s="40"/>
      <c r="AB77" s="40"/>
      <c r="AC77" s="48"/>
      <c r="AD77" s="22"/>
      <c r="AE77" s="22"/>
      <c r="AF77" s="22"/>
      <c r="AG77" s="40"/>
      <c r="AH77" s="22"/>
      <c r="AI77" s="22"/>
      <c r="AJ77" s="48"/>
      <c r="AK77" s="58"/>
      <c r="AL77" s="61"/>
    </row>
    <row r="78" spans="1:39" s="11" customFormat="1" ht="14.25" customHeight="1">
      <c r="A78" s="230"/>
      <c r="B78" s="168" t="s">
        <v>1317</v>
      </c>
      <c r="C78" s="22"/>
      <c r="D78" s="22"/>
      <c r="E78" s="22"/>
      <c r="F78" s="171" t="s">
        <v>1461</v>
      </c>
      <c r="H78" s="48"/>
      <c r="I78" s="40"/>
      <c r="J78" s="22"/>
      <c r="K78" s="114" t="s">
        <v>425</v>
      </c>
      <c r="L78" s="22"/>
      <c r="M78" s="40"/>
      <c r="N78" s="21"/>
      <c r="O78" s="48"/>
      <c r="P78" s="40"/>
      <c r="Q78" s="40"/>
      <c r="R78" s="22" t="s">
        <v>1046</v>
      </c>
      <c r="S78" s="58"/>
      <c r="T78" s="123"/>
      <c r="U78" s="123"/>
      <c r="V78" s="48"/>
      <c r="W78" s="40"/>
      <c r="X78" s="50" t="s">
        <v>400</v>
      </c>
      <c r="Y78" s="40"/>
      <c r="Z78" s="40"/>
      <c r="AA78" s="40"/>
      <c r="AB78" s="40"/>
      <c r="AC78" s="48"/>
      <c r="AD78" s="22"/>
      <c r="AE78" s="22"/>
      <c r="AF78" s="22"/>
      <c r="AG78" s="40"/>
      <c r="AH78" s="22"/>
      <c r="AI78" s="22"/>
      <c r="AJ78" s="48"/>
      <c r="AK78" s="58"/>
      <c r="AL78" s="61"/>
    </row>
    <row r="79" spans="1:39" s="11" customFormat="1" ht="14.25" customHeight="1">
      <c r="A79" s="230"/>
      <c r="B79" s="22"/>
      <c r="C79" s="22"/>
      <c r="D79" s="22"/>
      <c r="E79" s="22"/>
      <c r="F79" s="171" t="s">
        <v>1462</v>
      </c>
      <c r="H79" s="48"/>
      <c r="I79" s="40"/>
      <c r="J79" s="22"/>
      <c r="K79" s="114" t="s">
        <v>428</v>
      </c>
      <c r="L79" s="22"/>
      <c r="M79" s="40"/>
      <c r="N79" s="21"/>
      <c r="O79" s="48"/>
      <c r="P79" s="40"/>
      <c r="Q79" s="40"/>
      <c r="R79" s="22" t="s">
        <v>1044</v>
      </c>
      <c r="S79" s="58"/>
      <c r="T79" s="123"/>
      <c r="U79" s="123"/>
      <c r="V79" s="48"/>
      <c r="W79" s="40"/>
      <c r="X79" s="22" t="s">
        <v>444</v>
      </c>
      <c r="Y79" s="40"/>
      <c r="Z79" s="40"/>
      <c r="AA79" s="40"/>
      <c r="AB79" s="40"/>
      <c r="AC79" s="48"/>
      <c r="AD79" s="22"/>
      <c r="AE79" s="22"/>
      <c r="AF79" s="22"/>
      <c r="AG79" s="40"/>
      <c r="AH79" s="22"/>
      <c r="AI79" s="22"/>
      <c r="AJ79" s="231">
        <f>+SUM(B93:AL93)</f>
        <v>33059</v>
      </c>
      <c r="AK79" s="232"/>
      <c r="AL79" s="23" t="s">
        <v>1</v>
      </c>
    </row>
    <row r="80" spans="1:39" s="11" customFormat="1" ht="14.25" customHeight="1">
      <c r="A80" s="230"/>
      <c r="B80" s="22"/>
      <c r="C80" s="22"/>
      <c r="D80" s="22"/>
      <c r="E80" s="22"/>
      <c r="F80" s="171" t="s">
        <v>1463</v>
      </c>
      <c r="H80" s="48"/>
      <c r="I80" s="40"/>
      <c r="J80" s="22"/>
      <c r="K80" s="113" t="s">
        <v>436</v>
      </c>
      <c r="L80" s="22"/>
      <c r="M80" s="40"/>
      <c r="N80" s="21"/>
      <c r="O80" s="48"/>
      <c r="P80" s="40"/>
      <c r="Q80" s="40"/>
      <c r="R80" s="40"/>
      <c r="S80" s="58"/>
      <c r="T80" s="123"/>
      <c r="U80" s="123"/>
      <c r="V80" s="48"/>
      <c r="W80" s="40"/>
      <c r="X80" s="22" t="s">
        <v>1169</v>
      </c>
      <c r="Y80" s="40"/>
      <c r="Z80" s="22"/>
      <c r="AA80" s="40"/>
      <c r="AB80" s="50"/>
      <c r="AC80" s="48"/>
      <c r="AD80" s="22"/>
      <c r="AE80" s="22"/>
      <c r="AF80" s="22"/>
      <c r="AG80" s="40"/>
      <c r="AH80" s="22"/>
      <c r="AI80" s="22"/>
      <c r="AJ80" s="48"/>
      <c r="AL80" s="61"/>
    </row>
    <row r="81" spans="1:38" s="11" customFormat="1" ht="14.25" customHeight="1">
      <c r="A81" s="230"/>
      <c r="B81" s="22"/>
      <c r="C81" s="22"/>
      <c r="D81" s="22"/>
      <c r="E81" s="22"/>
      <c r="F81" s="171" t="s">
        <v>1464</v>
      </c>
      <c r="H81" s="48"/>
      <c r="I81" s="40"/>
      <c r="J81" s="22"/>
      <c r="K81" s="113" t="s">
        <v>437</v>
      </c>
      <c r="L81" s="22"/>
      <c r="M81" s="40"/>
      <c r="N81" s="21"/>
      <c r="O81" s="48"/>
      <c r="P81" s="40"/>
      <c r="Q81" s="40"/>
      <c r="R81" s="40"/>
      <c r="S81" s="58"/>
      <c r="T81" s="123"/>
      <c r="U81" s="123"/>
      <c r="V81" s="48"/>
      <c r="W81" s="40"/>
      <c r="X81" s="22" t="s">
        <v>1170</v>
      </c>
      <c r="Y81" s="40"/>
      <c r="Z81" s="40"/>
      <c r="AA81" s="40"/>
      <c r="AB81" s="22"/>
      <c r="AC81" s="48"/>
      <c r="AD81" s="22"/>
      <c r="AE81" s="22"/>
      <c r="AF81" s="22"/>
      <c r="AG81" s="40"/>
      <c r="AH81" s="22"/>
      <c r="AI81" s="22"/>
      <c r="AJ81" s="48"/>
      <c r="AK81" s="58"/>
      <c r="AL81" s="61"/>
    </row>
    <row r="82" spans="1:38" s="11" customFormat="1" ht="14.25" customHeight="1">
      <c r="A82" s="230"/>
      <c r="B82" s="22"/>
      <c r="C82" s="22"/>
      <c r="D82" s="22"/>
      <c r="E82" s="22"/>
      <c r="F82" s="171" t="s">
        <v>1465</v>
      </c>
      <c r="H82" s="48"/>
      <c r="I82" s="40"/>
      <c r="J82" s="22"/>
      <c r="K82" s="110" t="s">
        <v>1173</v>
      </c>
      <c r="L82" s="22"/>
      <c r="M82" s="40"/>
      <c r="N82" s="21"/>
      <c r="O82" s="48"/>
      <c r="P82" s="40"/>
      <c r="Q82" s="40"/>
      <c r="R82" s="40"/>
      <c r="S82" s="58"/>
      <c r="T82" s="123"/>
      <c r="U82" s="123"/>
      <c r="V82" s="48"/>
      <c r="W82" s="40"/>
      <c r="X82" s="22" t="s">
        <v>1171</v>
      </c>
      <c r="Y82" s="40"/>
      <c r="Z82" s="40"/>
      <c r="AA82" s="40"/>
      <c r="AB82" s="22"/>
      <c r="AC82" s="48"/>
      <c r="AD82" s="22"/>
      <c r="AE82" s="22"/>
      <c r="AF82" s="22"/>
      <c r="AG82" s="40"/>
      <c r="AH82" s="22"/>
      <c r="AI82" s="22"/>
      <c r="AJ82" s="48"/>
      <c r="AK82" s="58"/>
      <c r="AL82" s="61"/>
    </row>
    <row r="83" spans="1:38" s="11" customFormat="1" ht="14.25" customHeight="1">
      <c r="A83" s="230"/>
      <c r="C83" s="22"/>
      <c r="D83" s="22"/>
      <c r="E83" s="22"/>
      <c r="F83" s="203" t="s">
        <v>409</v>
      </c>
      <c r="H83" s="48"/>
      <c r="I83" s="40"/>
      <c r="J83" s="22"/>
      <c r="K83" s="113" t="s">
        <v>1285</v>
      </c>
      <c r="L83" s="22"/>
      <c r="M83" s="40"/>
      <c r="N83" s="21"/>
      <c r="O83" s="48"/>
      <c r="P83" s="40"/>
      <c r="Q83" s="40"/>
      <c r="R83" s="40"/>
      <c r="S83" s="22"/>
      <c r="T83" s="40"/>
      <c r="U83" s="40"/>
      <c r="V83" s="48"/>
      <c r="W83" s="40"/>
      <c r="X83" s="209" t="s">
        <v>1360</v>
      </c>
      <c r="Y83" s="40"/>
      <c r="Z83" s="40"/>
      <c r="AA83" s="40"/>
      <c r="AB83" s="22"/>
      <c r="AC83" s="48"/>
      <c r="AD83" s="22"/>
      <c r="AE83" s="22"/>
      <c r="AF83" s="22"/>
      <c r="AG83" s="40"/>
      <c r="AH83" s="22"/>
      <c r="AI83" s="22"/>
      <c r="AJ83" s="48"/>
      <c r="AK83" s="58"/>
      <c r="AL83" s="61"/>
    </row>
    <row r="84" spans="1:38" s="11" customFormat="1" ht="14.25" customHeight="1">
      <c r="A84" s="230"/>
      <c r="B84" s="22"/>
      <c r="C84" s="22"/>
      <c r="D84" s="22"/>
      <c r="E84" s="22"/>
      <c r="F84" s="171" t="s">
        <v>1466</v>
      </c>
      <c r="H84" s="48"/>
      <c r="I84" s="40"/>
      <c r="J84" s="22"/>
      <c r="K84" s="113" t="s">
        <v>1286</v>
      </c>
      <c r="L84" s="22"/>
      <c r="M84" s="40"/>
      <c r="N84" s="21"/>
      <c r="O84" s="48"/>
      <c r="P84" s="40"/>
      <c r="Q84" s="40"/>
      <c r="R84" s="40"/>
      <c r="S84" s="22"/>
      <c r="T84" s="40"/>
      <c r="U84" s="40"/>
      <c r="V84" s="48"/>
      <c r="W84" s="40"/>
      <c r="X84" s="40"/>
      <c r="Y84" s="40"/>
      <c r="Z84" s="40"/>
      <c r="AA84" s="22"/>
      <c r="AB84" s="22"/>
      <c r="AC84" s="48"/>
      <c r="AD84" s="22"/>
      <c r="AE84" s="22"/>
      <c r="AF84" s="22"/>
      <c r="AG84" s="40"/>
      <c r="AH84" s="22"/>
      <c r="AI84" s="22"/>
      <c r="AJ84" s="48"/>
      <c r="AK84" s="58"/>
      <c r="AL84" s="61"/>
    </row>
    <row r="85" spans="1:38" s="11" customFormat="1" ht="14.25" customHeight="1">
      <c r="A85" s="230"/>
      <c r="B85" s="22"/>
      <c r="C85" s="22"/>
      <c r="D85" s="22"/>
      <c r="E85" s="22"/>
      <c r="F85" s="171" t="s">
        <v>1467</v>
      </c>
      <c r="H85" s="48"/>
      <c r="I85" s="40"/>
      <c r="J85" s="22"/>
      <c r="K85" s="113" t="s">
        <v>1287</v>
      </c>
      <c r="L85" s="22"/>
      <c r="M85" s="40"/>
      <c r="N85" s="21"/>
      <c r="O85" s="48"/>
      <c r="P85" s="40"/>
      <c r="Q85" s="40"/>
      <c r="R85" s="22"/>
      <c r="S85" s="22"/>
      <c r="T85" s="40"/>
      <c r="U85" s="40"/>
      <c r="V85" s="48"/>
      <c r="W85" s="40"/>
      <c r="X85" s="40"/>
      <c r="Y85" s="40"/>
      <c r="Z85" s="40"/>
      <c r="AA85" s="22"/>
      <c r="AB85" s="22"/>
      <c r="AC85" s="48"/>
      <c r="AD85" s="22"/>
      <c r="AE85" s="22"/>
      <c r="AF85" s="22"/>
      <c r="AG85" s="40"/>
      <c r="AH85" s="22"/>
      <c r="AI85" s="22"/>
      <c r="AJ85" s="48"/>
      <c r="AK85" s="58"/>
      <c r="AL85" s="61"/>
    </row>
    <row r="86" spans="1:38" s="11" customFormat="1" ht="14.25" customHeight="1">
      <c r="A86" s="230"/>
      <c r="B86" s="22"/>
      <c r="C86" s="22"/>
      <c r="D86" s="40"/>
      <c r="E86" s="22"/>
      <c r="F86" s="171" t="s">
        <v>1468</v>
      </c>
      <c r="H86" s="48"/>
      <c r="I86" s="40"/>
      <c r="J86" s="22"/>
      <c r="K86" s="113" t="s">
        <v>1288</v>
      </c>
      <c r="L86" s="22"/>
      <c r="M86" s="40"/>
      <c r="N86" s="21"/>
      <c r="O86" s="48"/>
      <c r="P86" s="40"/>
      <c r="Q86" s="40"/>
      <c r="R86" s="22"/>
      <c r="S86" s="22"/>
      <c r="T86" s="40"/>
      <c r="U86" s="40"/>
      <c r="V86" s="48"/>
      <c r="W86" s="40"/>
      <c r="X86" s="40"/>
      <c r="Y86" s="40"/>
      <c r="Z86" s="40"/>
      <c r="AA86" s="40"/>
      <c r="AB86" s="40"/>
      <c r="AC86" s="48"/>
      <c r="AD86" s="22"/>
      <c r="AE86" s="22"/>
      <c r="AF86" s="22"/>
      <c r="AG86" s="22"/>
      <c r="AH86" s="22"/>
      <c r="AI86" s="22"/>
      <c r="AJ86" s="48"/>
      <c r="AL86" s="61"/>
    </row>
    <row r="87" spans="1:38" s="11" customFormat="1" ht="14.25" customHeight="1">
      <c r="A87" s="230"/>
      <c r="B87" s="22"/>
      <c r="C87" s="22"/>
      <c r="D87" s="40"/>
      <c r="E87" s="22"/>
      <c r="F87" s="195" t="s">
        <v>1365</v>
      </c>
      <c r="H87" s="48"/>
      <c r="I87" s="40"/>
      <c r="J87" s="22"/>
      <c r="K87" s="124" t="s">
        <v>1289</v>
      </c>
      <c r="L87" s="22"/>
      <c r="M87" s="40"/>
      <c r="N87" s="21"/>
      <c r="O87" s="48"/>
      <c r="P87" s="40"/>
      <c r="Q87" s="40"/>
      <c r="R87" s="40"/>
      <c r="S87" s="22"/>
      <c r="T87" s="40"/>
      <c r="U87" s="40"/>
      <c r="V87" s="48"/>
      <c r="W87" s="40"/>
      <c r="X87" s="40"/>
      <c r="Y87" s="40"/>
      <c r="Z87" s="50"/>
      <c r="AA87" s="40"/>
      <c r="AB87" s="40"/>
      <c r="AC87" s="48"/>
      <c r="AD87" s="22"/>
      <c r="AE87" s="22"/>
      <c r="AF87" s="22"/>
      <c r="AG87" s="22"/>
      <c r="AH87" s="22"/>
      <c r="AI87" s="22"/>
      <c r="AJ87" s="48"/>
      <c r="AK87" s="58"/>
      <c r="AL87" s="61"/>
    </row>
    <row r="88" spans="1:38" s="11" customFormat="1" ht="14.25" customHeight="1">
      <c r="A88" s="230"/>
      <c r="B88" s="22"/>
      <c r="C88" s="22"/>
      <c r="D88" s="40"/>
      <c r="E88" s="22"/>
      <c r="F88" s="21"/>
      <c r="H88" s="48"/>
      <c r="I88" s="40"/>
      <c r="J88" s="22"/>
      <c r="K88" s="124" t="s">
        <v>1290</v>
      </c>
      <c r="L88" s="22"/>
      <c r="M88" s="40"/>
      <c r="N88" s="21"/>
      <c r="O88" s="48"/>
      <c r="P88" s="40"/>
      <c r="Q88" s="40"/>
      <c r="R88" s="40"/>
      <c r="S88" s="22"/>
      <c r="T88" s="40"/>
      <c r="U88" s="40"/>
      <c r="V88" s="48"/>
      <c r="W88" s="40"/>
      <c r="X88" s="40"/>
      <c r="Y88" s="40"/>
      <c r="AA88" s="40"/>
      <c r="AB88" s="40"/>
      <c r="AC88" s="48"/>
      <c r="AD88" s="22"/>
      <c r="AE88" s="22"/>
      <c r="AF88" s="22"/>
      <c r="AG88" s="22"/>
      <c r="AH88" s="22"/>
      <c r="AI88" s="22"/>
      <c r="AJ88" s="48"/>
      <c r="AK88" s="58"/>
      <c r="AL88" s="61"/>
    </row>
    <row r="89" spans="1:38" s="11" customFormat="1" ht="14.25" customHeight="1">
      <c r="A89" s="230"/>
      <c r="B89" s="22"/>
      <c r="C89" s="22"/>
      <c r="D89" s="40"/>
      <c r="E89" s="22"/>
      <c r="F89" s="22"/>
      <c r="G89" s="40"/>
      <c r="H89" s="48"/>
      <c r="I89" s="40"/>
      <c r="J89" s="22"/>
      <c r="K89" s="22" t="s">
        <v>429</v>
      </c>
      <c r="L89" s="22"/>
      <c r="M89" s="40"/>
      <c r="N89" s="21"/>
      <c r="O89" s="48"/>
      <c r="P89" s="40"/>
      <c r="Q89" s="40"/>
      <c r="R89" s="40"/>
      <c r="S89" s="22"/>
      <c r="T89" s="40"/>
      <c r="U89" s="40"/>
      <c r="V89" s="48"/>
      <c r="W89" s="40"/>
      <c r="X89" s="40"/>
      <c r="Y89" s="40"/>
      <c r="Z89" s="40"/>
      <c r="AA89" s="40"/>
      <c r="AB89" s="40"/>
      <c r="AC89" s="48"/>
      <c r="AD89" s="22"/>
      <c r="AE89" s="22"/>
      <c r="AF89" s="22"/>
      <c r="AG89" s="22"/>
      <c r="AH89" s="22"/>
      <c r="AI89" s="22"/>
      <c r="AJ89" s="48"/>
      <c r="AK89" s="58"/>
      <c r="AL89" s="61"/>
    </row>
    <row r="90" spans="1:38" s="11" customFormat="1" ht="14.25" customHeight="1">
      <c r="A90" s="230"/>
      <c r="B90" s="22"/>
      <c r="C90" s="22"/>
      <c r="D90" s="40"/>
      <c r="E90" s="22"/>
      <c r="F90" s="22"/>
      <c r="G90" s="40"/>
      <c r="H90" s="48"/>
      <c r="I90" s="40"/>
      <c r="J90" s="22"/>
      <c r="K90" s="22" t="s">
        <v>430</v>
      </c>
      <c r="L90" s="22"/>
      <c r="M90" s="40"/>
      <c r="N90" s="21"/>
      <c r="O90" s="48"/>
      <c r="P90" s="40"/>
      <c r="Q90" s="40"/>
      <c r="R90" s="40"/>
      <c r="S90" s="22"/>
      <c r="T90" s="40"/>
      <c r="U90" s="40"/>
      <c r="V90" s="48"/>
      <c r="W90" s="40"/>
      <c r="X90" s="40"/>
      <c r="Y90" s="40"/>
      <c r="Z90" s="40"/>
      <c r="AA90" s="40"/>
      <c r="AB90" s="40"/>
      <c r="AC90" s="48"/>
      <c r="AD90" s="22"/>
      <c r="AE90" s="22"/>
      <c r="AF90" s="22"/>
      <c r="AG90" s="22"/>
      <c r="AH90" s="22"/>
      <c r="AI90" s="22"/>
      <c r="AJ90" s="48"/>
      <c r="AK90" s="58"/>
      <c r="AL90" s="61"/>
    </row>
    <row r="91" spans="1:38" s="11" customFormat="1" ht="14.25" customHeight="1">
      <c r="A91" s="230"/>
      <c r="B91" s="22"/>
      <c r="C91" s="22"/>
      <c r="D91" s="40"/>
      <c r="E91" s="22"/>
      <c r="F91" s="22"/>
      <c r="G91" s="40"/>
      <c r="H91" s="48"/>
      <c r="I91" s="40"/>
      <c r="J91" s="22"/>
      <c r="K91" s="22" t="s">
        <v>431</v>
      </c>
      <c r="L91" s="22"/>
      <c r="M91" s="40"/>
      <c r="N91" s="21"/>
      <c r="O91" s="48"/>
      <c r="P91" s="40"/>
      <c r="Q91" s="40"/>
      <c r="R91" s="40"/>
      <c r="S91" s="22"/>
      <c r="T91" s="40"/>
      <c r="U91" s="40"/>
      <c r="V91" s="48"/>
      <c r="W91" s="40"/>
      <c r="X91" s="40"/>
      <c r="Y91" s="40"/>
      <c r="Z91" s="40"/>
      <c r="AA91" s="40"/>
      <c r="AB91" s="40"/>
      <c r="AC91" s="48"/>
      <c r="AD91" s="22"/>
      <c r="AE91" s="22"/>
      <c r="AF91" s="22"/>
      <c r="AG91" s="22"/>
      <c r="AH91" s="22"/>
      <c r="AI91" s="22"/>
      <c r="AJ91" s="48"/>
      <c r="AK91" s="58"/>
      <c r="AL91" s="61"/>
    </row>
    <row r="92" spans="1:38" s="11" customFormat="1" ht="14.25" customHeight="1">
      <c r="A92" s="230"/>
      <c r="B92" s="22"/>
      <c r="C92" s="22"/>
      <c r="D92" s="40"/>
      <c r="E92" s="22"/>
      <c r="F92" s="22"/>
      <c r="G92" s="40"/>
      <c r="H92" s="48"/>
      <c r="I92" s="40"/>
      <c r="J92" s="22"/>
      <c r="K92" s="22" t="s">
        <v>439</v>
      </c>
      <c r="L92" s="22"/>
      <c r="M92" s="40"/>
      <c r="N92" s="21"/>
      <c r="O92" s="48"/>
      <c r="P92" s="40"/>
      <c r="Q92" s="40"/>
      <c r="R92" s="40"/>
      <c r="S92" s="22"/>
      <c r="T92" s="40"/>
      <c r="U92" s="40"/>
      <c r="V92" s="48"/>
      <c r="W92" s="40"/>
      <c r="X92" s="40"/>
      <c r="Y92" s="40"/>
      <c r="Z92" s="40"/>
      <c r="AA92" s="40"/>
      <c r="AB92" s="40"/>
      <c r="AC92" s="48"/>
      <c r="AD92" s="22"/>
      <c r="AE92" s="22"/>
      <c r="AF92" s="22"/>
      <c r="AG92" s="22"/>
      <c r="AH92" s="22"/>
      <c r="AI92" s="22"/>
      <c r="AJ92" s="48"/>
      <c r="AK92" s="58"/>
      <c r="AL92" s="61"/>
    </row>
    <row r="93" spans="1:38" s="11" customFormat="1" ht="16.5" customHeight="1">
      <c r="A93" s="230"/>
      <c r="B93" s="24"/>
      <c r="C93" s="56"/>
      <c r="D93" s="24"/>
      <c r="E93" s="56"/>
      <c r="F93" s="233">
        <f>649+572+532+760+876+289+282+430+20+673+559+525+308</f>
        <v>6475</v>
      </c>
      <c r="G93" s="234"/>
      <c r="H93" s="25"/>
      <c r="I93" s="24"/>
      <c r="J93" s="24"/>
      <c r="K93" s="233">
        <f>604+800+120+498+336+100+370+239+710+153+100+410+498+505+188+710+1860+640+1</f>
        <v>8842</v>
      </c>
      <c r="L93" s="234"/>
      <c r="M93" s="56"/>
      <c r="N93" s="24"/>
      <c r="O93" s="25"/>
      <c r="P93" s="56"/>
      <c r="Q93" s="242">
        <f>4418+620+130+100+598+331+300</f>
        <v>6497</v>
      </c>
      <c r="R93" s="243"/>
      <c r="S93" s="24"/>
      <c r="T93" s="56"/>
      <c r="U93" s="24"/>
      <c r="V93" s="25"/>
      <c r="W93" s="56"/>
      <c r="X93" s="233">
        <f>698+2+2301+556+638+530+330+741+5449</f>
        <v>11245</v>
      </c>
      <c r="Y93" s="234"/>
      <c r="Z93" s="24"/>
      <c r="AA93" s="56"/>
      <c r="AB93" s="24"/>
      <c r="AC93" s="24"/>
      <c r="AD93" s="24"/>
      <c r="AE93" s="24"/>
      <c r="AF93" s="24"/>
      <c r="AG93" s="24"/>
      <c r="AH93" s="56"/>
      <c r="AI93" s="56"/>
      <c r="AJ93" s="24"/>
      <c r="AK93" s="24"/>
      <c r="AL93" s="64"/>
    </row>
    <row r="94" spans="1:38" s="11" customFormat="1" ht="2.25" customHeight="1">
      <c r="A94" s="26"/>
      <c r="B94" s="27"/>
      <c r="C94" s="27"/>
      <c r="D94" s="27"/>
      <c r="E94" s="28"/>
      <c r="F94" s="27"/>
      <c r="G94" s="27"/>
      <c r="H94" s="27"/>
      <c r="I94" s="27"/>
      <c r="J94" s="44"/>
      <c r="K94" s="44"/>
      <c r="L94" s="44"/>
      <c r="M94" s="44"/>
      <c r="N94" s="44"/>
      <c r="O94" s="27"/>
      <c r="P94" s="27"/>
      <c r="Q94" s="44"/>
      <c r="R94" s="44"/>
      <c r="S94" s="44"/>
      <c r="T94" s="44"/>
      <c r="U94" s="44"/>
      <c r="V94" s="27"/>
      <c r="W94" s="27"/>
      <c r="X94" s="44"/>
      <c r="Y94" s="44"/>
      <c r="Z94" s="44"/>
      <c r="AA94" s="44"/>
      <c r="AB94" s="44"/>
      <c r="AC94" s="27"/>
      <c r="AD94" s="27"/>
      <c r="AE94" s="44"/>
      <c r="AF94" s="44"/>
      <c r="AG94" s="44"/>
      <c r="AH94" s="44"/>
      <c r="AI94" s="44"/>
      <c r="AJ94" s="30"/>
      <c r="AK94" s="27"/>
      <c r="AL94" s="30"/>
    </row>
    <row r="95" spans="1:38" s="57" customFormat="1" ht="32.25" customHeight="1">
      <c r="A95" s="236" t="s">
        <v>2</v>
      </c>
      <c r="B95" s="38" t="s">
        <v>3</v>
      </c>
      <c r="C95" s="32"/>
      <c r="D95" s="31"/>
      <c r="E95" s="31"/>
      <c r="F95" s="32"/>
      <c r="G95" s="32"/>
      <c r="H95" s="32"/>
      <c r="I95" s="238" t="s">
        <v>4</v>
      </c>
      <c r="J95" s="32"/>
      <c r="K95" s="32"/>
      <c r="L95" s="32"/>
      <c r="M95" s="32"/>
      <c r="N95" s="32"/>
      <c r="O95" s="32"/>
      <c r="P95" s="238" t="s">
        <v>5</v>
      </c>
      <c r="Q95" s="32"/>
      <c r="R95" s="32"/>
      <c r="S95" s="32"/>
      <c r="T95" s="32"/>
      <c r="U95" s="32"/>
      <c r="V95" s="32"/>
      <c r="W95" s="238" t="s">
        <v>6</v>
      </c>
      <c r="X95" s="32"/>
      <c r="Y95" s="32"/>
      <c r="Z95" s="32"/>
      <c r="AA95" s="32"/>
      <c r="AB95" s="32"/>
      <c r="AC95" s="32"/>
      <c r="AD95" s="238" t="s">
        <v>46</v>
      </c>
      <c r="AE95" s="32"/>
      <c r="AF95" s="32"/>
      <c r="AG95" s="32"/>
      <c r="AH95" s="32"/>
      <c r="AI95" s="32"/>
      <c r="AJ95" s="32"/>
      <c r="AK95" s="32"/>
      <c r="AL95" s="33"/>
    </row>
    <row r="96" spans="1:38" s="57" customFormat="1" ht="32.25" customHeight="1" thickBot="1">
      <c r="A96" s="237"/>
      <c r="B96" s="39" t="s">
        <v>7</v>
      </c>
      <c r="C96" s="35"/>
      <c r="D96" s="34"/>
      <c r="E96" s="34"/>
      <c r="F96" s="35"/>
      <c r="G96" s="35"/>
      <c r="H96" s="35"/>
      <c r="I96" s="239"/>
      <c r="J96" s="35"/>
      <c r="K96" s="35"/>
      <c r="L96" s="35"/>
      <c r="M96" s="35"/>
      <c r="N96" s="35"/>
      <c r="O96" s="35"/>
      <c r="P96" s="239"/>
      <c r="Q96" s="35"/>
      <c r="R96" s="35"/>
      <c r="S96" s="35"/>
      <c r="T96" s="35"/>
      <c r="U96" s="35"/>
      <c r="V96" s="35"/>
      <c r="W96" s="239"/>
      <c r="X96" s="35"/>
      <c r="Y96" s="35"/>
      <c r="Z96" s="35"/>
      <c r="AA96" s="35"/>
      <c r="AB96" s="35"/>
      <c r="AC96" s="35"/>
      <c r="AD96" s="239"/>
      <c r="AE96" s="35"/>
      <c r="AF96" s="35"/>
      <c r="AG96" s="35"/>
      <c r="AH96" s="35"/>
      <c r="AI96" s="35"/>
      <c r="AJ96" s="35"/>
      <c r="AK96" s="35"/>
      <c r="AL96" s="36"/>
    </row>
  </sheetData>
  <mergeCells count="25">
    <mergeCell ref="A9:A38"/>
    <mergeCell ref="AJ21:AK21"/>
    <mergeCell ref="L43:Q43"/>
    <mergeCell ref="S43:U43"/>
    <mergeCell ref="Y43:Z43"/>
    <mergeCell ref="AH38:AI38"/>
    <mergeCell ref="G38:H38"/>
    <mergeCell ref="P38:Q38"/>
    <mergeCell ref="W38:X38"/>
    <mergeCell ref="A45:A93"/>
    <mergeCell ref="AJ56:AK56"/>
    <mergeCell ref="L66:M66"/>
    <mergeCell ref="R66:S66"/>
    <mergeCell ref="Y66:Z66"/>
    <mergeCell ref="AJ79:AK79"/>
    <mergeCell ref="K93:L93"/>
    <mergeCell ref="Q93:R93"/>
    <mergeCell ref="X93:Y93"/>
    <mergeCell ref="G66:H66"/>
    <mergeCell ref="F93:G93"/>
    <mergeCell ref="A95:A96"/>
    <mergeCell ref="I95:I96"/>
    <mergeCell ref="P95:P96"/>
    <mergeCell ref="W95:W96"/>
    <mergeCell ref="AD95:AD96"/>
  </mergeCells>
  <phoneticPr fontId="48" type="noConversion"/>
  <conditionalFormatting sqref="D55">
    <cfRule type="duplicateValues" dxfId="17" priority="5"/>
  </conditionalFormatting>
  <conditionalFormatting sqref="D82">
    <cfRule type="duplicateValues" dxfId="16" priority="4"/>
  </conditionalFormatting>
  <conditionalFormatting sqref="Y45">
    <cfRule type="duplicateValues" dxfId="15" priority="2"/>
  </conditionalFormatting>
  <conditionalFormatting sqref="Y55">
    <cfRule type="duplicateValues" dxfId="14" priority="1"/>
  </conditionalFormatting>
  <conditionalFormatting sqref="Z60">
    <cfRule type="duplicateValues" dxfId="13" priority="3"/>
  </conditionalFormatting>
  <printOptions horizontalCentered="1"/>
  <pageMargins left="0" right="0" top="0" bottom="0" header="0" footer="0"/>
  <pageSetup paperSize="9" scale="4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Q87"/>
  <sheetViews>
    <sheetView zoomScale="75" zoomScaleNormal="75" workbookViewId="0">
      <pane ySplit="4" topLeftCell="A17" activePane="bottomLeft" state="frozen"/>
      <selection activeCell="X50" sqref="X50"/>
      <selection pane="bottomLeft" activeCell="P40" sqref="P40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40" s="4" customFormat="1" ht="22">
      <c r="A1" s="3"/>
      <c r="B1" s="7"/>
      <c r="E1" s="5"/>
      <c r="Q1" s="1" t="s">
        <v>1220</v>
      </c>
      <c r="AJ1" s="5" t="s">
        <v>1645</v>
      </c>
    </row>
    <row r="2" spans="1:40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40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40" s="11" customFormat="1" ht="17.25" customHeight="1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40" s="11" customFormat="1" ht="16.5" customHeight="1">
      <c r="A5" s="12" t="s">
        <v>0</v>
      </c>
      <c r="B5" s="16"/>
      <c r="C5" s="16"/>
      <c r="D5" s="16"/>
      <c r="E5" s="16"/>
      <c r="F5" s="16"/>
      <c r="G5" s="16">
        <v>1120</v>
      </c>
      <c r="H5" s="25"/>
      <c r="I5" s="16">
        <v>1120</v>
      </c>
      <c r="J5" s="16">
        <v>1540</v>
      </c>
      <c r="K5" s="16">
        <v>1540</v>
      </c>
      <c r="L5" s="16">
        <v>1540</v>
      </c>
      <c r="M5" s="16">
        <v>1540</v>
      </c>
      <c r="N5" s="68">
        <v>1040</v>
      </c>
      <c r="O5" s="25"/>
      <c r="P5" s="16">
        <v>1160</v>
      </c>
      <c r="Q5" s="16">
        <v>1380</v>
      </c>
      <c r="R5" s="16">
        <v>1540</v>
      </c>
      <c r="S5" s="68">
        <v>1390</v>
      </c>
      <c r="T5" s="93">
        <v>1200</v>
      </c>
      <c r="U5" s="68">
        <v>1200</v>
      </c>
      <c r="V5" s="25"/>
      <c r="W5" s="16">
        <v>1330</v>
      </c>
      <c r="X5" s="16">
        <v>1330</v>
      </c>
      <c r="Y5" s="16">
        <v>1330</v>
      </c>
      <c r="Z5" s="51">
        <v>1330</v>
      </c>
      <c r="AA5" s="16">
        <v>1330</v>
      </c>
      <c r="AB5" s="16">
        <v>1330</v>
      </c>
      <c r="AC5" s="25"/>
      <c r="AD5" s="16">
        <v>1330</v>
      </c>
      <c r="AE5" s="68">
        <v>1200</v>
      </c>
      <c r="AF5" s="16">
        <v>1330</v>
      </c>
      <c r="AG5" s="51">
        <v>1330</v>
      </c>
      <c r="AH5" s="51"/>
      <c r="AI5" s="16"/>
      <c r="AJ5" s="25"/>
      <c r="AK5" s="16"/>
      <c r="AL5" s="51"/>
      <c r="AM5" s="17">
        <f>+SUM(B5:AL5)</f>
        <v>30480</v>
      </c>
    </row>
    <row r="6" spans="1:40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8">
        <v>11</v>
      </c>
      <c r="J6" s="18">
        <v>11</v>
      </c>
      <c r="K6" s="18">
        <v>11</v>
      </c>
      <c r="L6" s="18">
        <v>11</v>
      </c>
      <c r="M6" s="18">
        <v>8</v>
      </c>
      <c r="N6" s="18">
        <v>8</v>
      </c>
      <c r="O6" s="25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92">
        <v>9.5</v>
      </c>
      <c r="X6" s="192">
        <v>9.5</v>
      </c>
      <c r="Y6" s="192">
        <v>9.5</v>
      </c>
      <c r="Z6" s="192">
        <v>9.5</v>
      </c>
      <c r="AA6" s="192">
        <v>9.5</v>
      </c>
      <c r="AB6" s="192">
        <v>9.5</v>
      </c>
      <c r="AC6" s="193"/>
      <c r="AD6" s="192">
        <v>9.5</v>
      </c>
      <c r="AE6" s="192">
        <v>9.5</v>
      </c>
      <c r="AF6" s="192">
        <v>9.5</v>
      </c>
      <c r="AG6" s="192">
        <v>9.5</v>
      </c>
      <c r="AH6" s="18">
        <v>8</v>
      </c>
      <c r="AI6" s="18">
        <v>8</v>
      </c>
      <c r="AJ6" s="25"/>
      <c r="AK6" s="18">
        <v>8</v>
      </c>
      <c r="AL6" s="18">
        <v>8</v>
      </c>
    </row>
    <row r="7" spans="1:40" s="17" customFormat="1" ht="16.5" customHeight="1">
      <c r="A7" s="2" t="s">
        <v>19</v>
      </c>
      <c r="B7" s="41"/>
      <c r="C7" s="41"/>
      <c r="D7" s="41"/>
      <c r="E7" s="41"/>
      <c r="F7" s="41"/>
      <c r="G7" s="41" t="s">
        <v>98</v>
      </c>
      <c r="H7" s="25"/>
      <c r="I7" s="41"/>
      <c r="J7" s="41"/>
      <c r="K7" s="41"/>
      <c r="L7" s="41"/>
      <c r="M7" s="41"/>
      <c r="N7" s="41" t="s">
        <v>1480</v>
      </c>
      <c r="O7" s="25"/>
      <c r="P7" s="41"/>
      <c r="Q7" s="41"/>
      <c r="R7" s="41"/>
      <c r="S7" s="41" t="s">
        <v>98</v>
      </c>
      <c r="T7" s="41" t="s">
        <v>98</v>
      </c>
      <c r="U7" s="41" t="s">
        <v>98</v>
      </c>
      <c r="V7" s="25"/>
      <c r="W7" s="41"/>
      <c r="X7" s="41"/>
      <c r="Y7" s="41"/>
      <c r="Z7" s="41"/>
      <c r="AA7" s="41"/>
      <c r="AB7" s="41"/>
      <c r="AC7" s="25"/>
      <c r="AD7" s="41"/>
      <c r="AE7" s="41" t="s">
        <v>98</v>
      </c>
      <c r="AF7" s="41"/>
      <c r="AG7" s="41"/>
      <c r="AH7" s="41"/>
      <c r="AI7" s="41"/>
      <c r="AJ7" s="25"/>
      <c r="AK7" s="41"/>
      <c r="AL7" s="173"/>
    </row>
    <row r="8" spans="1:40" s="17" customFormat="1" ht="16.5" customHeight="1">
      <c r="A8" s="2" t="s">
        <v>20</v>
      </c>
      <c r="B8" s="20"/>
      <c r="C8" s="20"/>
      <c r="D8" s="20"/>
      <c r="E8" s="20"/>
      <c r="F8" s="20"/>
      <c r="G8" s="20"/>
      <c r="H8" s="25"/>
      <c r="I8" s="20"/>
      <c r="J8" s="20"/>
      <c r="K8" s="20"/>
      <c r="L8" s="20"/>
      <c r="M8" s="20"/>
      <c r="N8" s="20">
        <v>0.9</v>
      </c>
      <c r="O8" s="25"/>
      <c r="P8" s="20"/>
      <c r="Q8" s="20"/>
      <c r="R8" s="20"/>
      <c r="S8" s="20">
        <v>0.9</v>
      </c>
      <c r="T8" s="20">
        <v>0.9</v>
      </c>
      <c r="U8" s="20">
        <v>0.9</v>
      </c>
      <c r="V8" s="25"/>
      <c r="W8" s="20"/>
      <c r="X8" s="20"/>
      <c r="Y8" s="20"/>
      <c r="Z8" s="20"/>
      <c r="AA8" s="20"/>
      <c r="AB8" s="20"/>
      <c r="AC8" s="25"/>
      <c r="AD8" s="20"/>
      <c r="AE8" s="20">
        <v>0.9</v>
      </c>
      <c r="AF8" s="20"/>
      <c r="AG8" s="20"/>
      <c r="AH8" s="20"/>
      <c r="AI8" s="20"/>
      <c r="AJ8" s="25"/>
      <c r="AK8" s="20"/>
      <c r="AL8" s="169"/>
    </row>
    <row r="9" spans="1:40" s="11" customFormat="1" ht="14.25" customHeight="1">
      <c r="A9" s="229" t="s">
        <v>30</v>
      </c>
      <c r="B9" s="46"/>
      <c r="C9" s="49"/>
      <c r="D9" s="40"/>
      <c r="E9" s="47"/>
      <c r="F9" s="47"/>
      <c r="G9" s="42" t="s">
        <v>833</v>
      </c>
      <c r="H9" s="48"/>
      <c r="I9" s="40"/>
      <c r="J9" s="47"/>
      <c r="K9" s="40"/>
      <c r="L9" s="40"/>
      <c r="N9" s="54" t="s">
        <v>352</v>
      </c>
      <c r="O9" s="48"/>
      <c r="Q9" s="40"/>
      <c r="T9" s="40"/>
      <c r="U9" s="50" t="s">
        <v>852</v>
      </c>
      <c r="V9" s="48"/>
      <c r="X9" s="50"/>
      <c r="Y9" s="40"/>
      <c r="Z9" s="42"/>
      <c r="AA9" s="40"/>
      <c r="AC9" s="48"/>
      <c r="AD9" s="40"/>
      <c r="AE9" s="42" t="s">
        <v>81</v>
      </c>
      <c r="AF9" s="40"/>
      <c r="AG9" s="40"/>
      <c r="AH9" s="46"/>
      <c r="AI9" s="47"/>
      <c r="AJ9" s="48"/>
      <c r="AK9" s="62"/>
      <c r="AL9" s="61"/>
    </row>
    <row r="10" spans="1:40" s="11" customFormat="1" ht="14.25" customHeight="1">
      <c r="A10" s="230"/>
      <c r="B10" s="22"/>
      <c r="C10" s="22"/>
      <c r="D10" s="40"/>
      <c r="E10" s="21"/>
      <c r="F10" s="21"/>
      <c r="G10" s="190" t="s">
        <v>1443</v>
      </c>
      <c r="H10" s="48"/>
      <c r="I10" s="40"/>
      <c r="J10" s="21"/>
      <c r="K10" s="40"/>
      <c r="L10" s="40"/>
      <c r="M10" s="40"/>
      <c r="N10" s="22" t="s">
        <v>1267</v>
      </c>
      <c r="O10" s="48"/>
      <c r="P10" s="40"/>
      <c r="Q10" s="40"/>
      <c r="R10" s="40"/>
      <c r="S10" s="40"/>
      <c r="T10" s="40"/>
      <c r="U10" s="22" t="s">
        <v>927</v>
      </c>
      <c r="V10" s="48"/>
      <c r="W10" s="40"/>
      <c r="X10" s="40"/>
      <c r="Y10" s="40"/>
      <c r="Z10" s="40"/>
      <c r="AA10" s="40"/>
      <c r="AB10" s="40"/>
      <c r="AC10" s="48"/>
      <c r="AD10" s="40"/>
      <c r="AE10" s="22" t="s">
        <v>88</v>
      </c>
      <c r="AF10" s="40"/>
      <c r="AG10" s="40"/>
      <c r="AH10" s="21"/>
      <c r="AI10" s="21"/>
      <c r="AJ10" s="48"/>
      <c r="AK10" s="58"/>
      <c r="AL10" s="61"/>
    </row>
    <row r="11" spans="1:40" s="11" customFormat="1" ht="14.25" customHeight="1">
      <c r="A11" s="230"/>
      <c r="B11" s="22"/>
      <c r="C11" s="22"/>
      <c r="D11" s="40"/>
      <c r="E11" s="21"/>
      <c r="F11" s="21"/>
      <c r="G11" s="171" t="s">
        <v>1469</v>
      </c>
      <c r="H11" s="48"/>
      <c r="I11" s="40"/>
      <c r="J11" s="21"/>
      <c r="K11" s="40"/>
      <c r="L11" s="40"/>
      <c r="M11" s="40"/>
      <c r="N11" s="105" t="s">
        <v>1268</v>
      </c>
      <c r="O11" s="48"/>
      <c r="P11" s="40"/>
      <c r="Q11" s="40"/>
      <c r="R11" s="40"/>
      <c r="S11" s="40"/>
      <c r="T11" s="40"/>
      <c r="U11" s="22" t="s">
        <v>853</v>
      </c>
      <c r="V11" s="48"/>
      <c r="W11" s="40"/>
      <c r="X11" s="40"/>
      <c r="Y11" s="40"/>
      <c r="Z11" s="40"/>
      <c r="AA11" s="40"/>
      <c r="AB11" s="40"/>
      <c r="AC11" s="48"/>
      <c r="AD11" s="40"/>
      <c r="AE11" s="22" t="s">
        <v>86</v>
      </c>
      <c r="AF11" s="40"/>
      <c r="AG11" s="40"/>
      <c r="AH11" s="21"/>
      <c r="AI11" s="21"/>
      <c r="AJ11" s="48"/>
      <c r="AK11" s="58"/>
      <c r="AL11" s="61"/>
    </row>
    <row r="12" spans="1:40" s="11" customFormat="1" ht="14.25" customHeight="1">
      <c r="A12" s="230"/>
      <c r="B12" s="22"/>
      <c r="C12" s="55"/>
      <c r="D12" s="40"/>
      <c r="E12" s="21"/>
      <c r="F12" s="21"/>
      <c r="G12" s="171" t="s">
        <v>1470</v>
      </c>
      <c r="H12" s="48"/>
      <c r="I12" s="40"/>
      <c r="J12" s="21"/>
      <c r="K12" s="40"/>
      <c r="L12" s="40"/>
      <c r="M12" s="40"/>
      <c r="N12" s="42" t="s">
        <v>81</v>
      </c>
      <c r="O12" s="48"/>
      <c r="P12" s="40"/>
      <c r="Q12" s="40"/>
      <c r="R12" s="40"/>
      <c r="S12" s="40"/>
      <c r="T12" s="40"/>
      <c r="U12" s="22" t="s">
        <v>854</v>
      </c>
      <c r="V12" s="48"/>
      <c r="W12" s="40"/>
      <c r="X12" s="40"/>
      <c r="Y12" s="40"/>
      <c r="Z12" s="50"/>
      <c r="AA12" s="40"/>
      <c r="AB12" s="40"/>
      <c r="AC12" s="48"/>
      <c r="AD12" s="40"/>
      <c r="AE12" s="92" t="s">
        <v>1335</v>
      </c>
      <c r="AF12" s="40"/>
      <c r="AG12" s="40"/>
      <c r="AH12" s="21"/>
      <c r="AI12" s="21"/>
      <c r="AJ12" s="48"/>
      <c r="AK12" s="58"/>
      <c r="AL12" s="61"/>
      <c r="AN12" s="42"/>
    </row>
    <row r="13" spans="1:40" s="11" customFormat="1" ht="14.25" customHeight="1">
      <c r="A13" s="230"/>
      <c r="B13" s="22"/>
      <c r="C13" s="22"/>
      <c r="D13" s="40"/>
      <c r="E13" s="21"/>
      <c r="F13" s="21"/>
      <c r="G13" s="171" t="s">
        <v>1471</v>
      </c>
      <c r="H13" s="48"/>
      <c r="I13" s="40"/>
      <c r="J13" s="21"/>
      <c r="K13" s="40"/>
      <c r="L13" s="40"/>
      <c r="M13" s="40"/>
      <c r="N13" s="22" t="s">
        <v>84</v>
      </c>
      <c r="O13" s="48"/>
      <c r="P13" s="40"/>
      <c r="Q13" s="40"/>
      <c r="R13" s="40"/>
      <c r="S13" s="40"/>
      <c r="T13" s="40"/>
      <c r="U13" s="22" t="s">
        <v>858</v>
      </c>
      <c r="V13" s="48"/>
      <c r="W13" s="40"/>
      <c r="X13" s="40"/>
      <c r="Y13" s="40"/>
      <c r="Z13" s="40"/>
      <c r="AA13" s="40"/>
      <c r="AB13" s="40"/>
      <c r="AC13" s="48"/>
      <c r="AD13" s="40"/>
      <c r="AE13" s="92" t="s">
        <v>1336</v>
      </c>
      <c r="AF13" s="40"/>
      <c r="AG13" s="40"/>
      <c r="AH13" s="21"/>
      <c r="AI13" s="21"/>
      <c r="AJ13" s="48"/>
      <c r="AK13" s="58"/>
      <c r="AL13" s="61"/>
    </row>
    <row r="14" spans="1:40" s="11" customFormat="1" ht="14.25" customHeight="1">
      <c r="A14" s="230"/>
      <c r="B14" s="22"/>
      <c r="C14" s="22"/>
      <c r="D14" s="40"/>
      <c r="E14" s="40"/>
      <c r="F14" s="21"/>
      <c r="G14" s="171" t="s">
        <v>1472</v>
      </c>
      <c r="H14" s="48"/>
      <c r="I14" s="40"/>
      <c r="J14" s="40"/>
      <c r="K14" s="40"/>
      <c r="L14" s="40"/>
      <c r="M14" s="40"/>
      <c r="N14" s="22" t="s">
        <v>83</v>
      </c>
      <c r="O14" s="48"/>
      <c r="P14" s="40"/>
      <c r="Q14" s="40"/>
      <c r="R14" s="40"/>
      <c r="S14" s="40"/>
      <c r="T14" s="40"/>
      <c r="U14" s="42" t="s">
        <v>1303</v>
      </c>
      <c r="V14" s="48"/>
      <c r="W14" s="40"/>
      <c r="X14" s="40"/>
      <c r="Y14" s="40"/>
      <c r="Z14" s="40"/>
      <c r="AA14" s="40"/>
      <c r="AB14" s="40"/>
      <c r="AC14" s="48"/>
      <c r="AD14" s="40"/>
      <c r="AE14" s="92" t="s">
        <v>1337</v>
      </c>
      <c r="AF14" s="40"/>
      <c r="AG14" s="40"/>
      <c r="AH14" s="21"/>
      <c r="AI14" s="21"/>
      <c r="AJ14" s="48"/>
      <c r="AK14" s="58"/>
      <c r="AL14" s="61"/>
    </row>
    <row r="15" spans="1:40" s="11" customFormat="1" ht="14.25" customHeight="1">
      <c r="A15" s="230"/>
      <c r="B15" s="22"/>
      <c r="C15" s="22"/>
      <c r="D15" s="40"/>
      <c r="E15" s="40"/>
      <c r="F15" s="21"/>
      <c r="G15" s="171" t="s">
        <v>1473</v>
      </c>
      <c r="H15" s="48"/>
      <c r="I15" s="40"/>
      <c r="J15" s="40"/>
      <c r="K15" s="40"/>
      <c r="L15" s="40"/>
      <c r="M15" s="40"/>
      <c r="N15" s="22" t="s">
        <v>85</v>
      </c>
      <c r="O15" s="48"/>
      <c r="P15" s="40"/>
      <c r="Q15" s="40"/>
      <c r="R15" s="40"/>
      <c r="S15" s="40"/>
      <c r="T15" s="40"/>
      <c r="U15" s="22" t="s">
        <v>886</v>
      </c>
      <c r="V15" s="48"/>
      <c r="W15" s="40"/>
      <c r="X15" s="40"/>
      <c r="Y15" s="40"/>
      <c r="Z15" s="40"/>
      <c r="AA15" s="40"/>
      <c r="AB15" s="40"/>
      <c r="AC15" s="48"/>
      <c r="AD15" s="40"/>
      <c r="AE15" s="92" t="s">
        <v>1338</v>
      </c>
      <c r="AF15" s="40"/>
      <c r="AG15" s="40"/>
      <c r="AH15" s="21"/>
      <c r="AI15" s="21"/>
      <c r="AJ15" s="48"/>
      <c r="AK15" s="58"/>
      <c r="AL15" s="61"/>
    </row>
    <row r="16" spans="1:40" s="11" customFormat="1" ht="14.25" customHeight="1">
      <c r="A16" s="230"/>
      <c r="B16" s="22"/>
      <c r="C16" s="22"/>
      <c r="D16" s="40"/>
      <c r="E16" s="40"/>
      <c r="F16" s="21"/>
      <c r="G16" s="171" t="s">
        <v>1474</v>
      </c>
      <c r="H16" s="48"/>
      <c r="I16" s="40"/>
      <c r="J16" s="40"/>
      <c r="K16" s="40"/>
      <c r="L16" s="40"/>
      <c r="M16" s="40"/>
      <c r="N16" s="92" t="s">
        <v>82</v>
      </c>
      <c r="O16" s="48"/>
      <c r="P16" s="40"/>
      <c r="Q16" s="40"/>
      <c r="R16" s="40"/>
      <c r="S16" s="40"/>
      <c r="T16" s="40"/>
      <c r="U16" s="22" t="s">
        <v>888</v>
      </c>
      <c r="V16" s="48"/>
      <c r="W16" s="40"/>
      <c r="X16" s="40"/>
      <c r="Y16" s="40"/>
      <c r="Z16" s="40"/>
      <c r="AA16" s="40"/>
      <c r="AB16" s="40"/>
      <c r="AC16" s="48"/>
      <c r="AD16" s="40"/>
      <c r="AE16" s="22" t="s">
        <v>996</v>
      </c>
      <c r="AF16" s="40"/>
      <c r="AG16" s="40"/>
      <c r="AH16" s="22"/>
      <c r="AI16" s="21"/>
      <c r="AJ16" s="48"/>
      <c r="AK16" s="58"/>
      <c r="AL16" s="61"/>
    </row>
    <row r="17" spans="1:39" s="11" customFormat="1" ht="14.25" customHeight="1">
      <c r="A17" s="230"/>
      <c r="B17" s="22"/>
      <c r="C17" s="22"/>
      <c r="D17" s="40"/>
      <c r="E17" s="40"/>
      <c r="F17" s="21"/>
      <c r="G17" s="215" t="s">
        <v>1475</v>
      </c>
      <c r="H17" s="48"/>
      <c r="I17" s="40"/>
      <c r="J17" s="40"/>
      <c r="K17" s="40"/>
      <c r="L17" s="40"/>
      <c r="M17" s="40"/>
      <c r="N17" s="42" t="s">
        <v>95</v>
      </c>
      <c r="O17" s="48"/>
      <c r="P17" s="40"/>
      <c r="Q17" s="40"/>
      <c r="R17" s="40"/>
      <c r="S17" s="40"/>
      <c r="T17" s="40"/>
      <c r="U17" s="22" t="s">
        <v>889</v>
      </c>
      <c r="V17" s="48"/>
      <c r="W17" s="40"/>
      <c r="X17" s="40"/>
      <c r="Y17" s="40"/>
      <c r="Z17" s="40"/>
      <c r="AA17" s="40"/>
      <c r="AB17" s="40"/>
      <c r="AC17" s="48"/>
      <c r="AD17" s="40"/>
      <c r="AE17" s="22" t="s">
        <v>1339</v>
      </c>
      <c r="AF17" s="40"/>
      <c r="AG17" s="40"/>
      <c r="AH17" s="40"/>
      <c r="AI17" s="21"/>
      <c r="AJ17" s="48"/>
      <c r="AL17" s="61"/>
    </row>
    <row r="18" spans="1:39" s="11" customFormat="1" ht="14.25" customHeight="1">
      <c r="A18" s="230"/>
      <c r="B18" s="22"/>
      <c r="C18" s="22"/>
      <c r="D18" s="40"/>
      <c r="E18" s="40"/>
      <c r="F18" s="21"/>
      <c r="G18" s="171" t="s">
        <v>1476</v>
      </c>
      <c r="H18" s="48"/>
      <c r="I18" s="40"/>
      <c r="J18" s="40"/>
      <c r="K18" s="40"/>
      <c r="L18" s="40"/>
      <c r="M18" s="40"/>
      <c r="N18" s="22" t="s">
        <v>96</v>
      </c>
      <c r="O18" s="48"/>
      <c r="P18" s="40"/>
      <c r="Q18" s="40"/>
      <c r="R18" s="40"/>
      <c r="S18" s="40"/>
      <c r="T18" s="40"/>
      <c r="U18" s="22" t="s">
        <v>1278</v>
      </c>
      <c r="V18" s="48"/>
      <c r="W18" s="40"/>
      <c r="X18" s="40"/>
      <c r="Y18" s="40"/>
      <c r="Z18" s="40"/>
      <c r="AA18" s="40"/>
      <c r="AB18" s="40"/>
      <c r="AC18" s="48"/>
      <c r="AD18" s="40"/>
      <c r="AE18" s="22" t="s">
        <v>1340</v>
      </c>
      <c r="AF18" s="40"/>
      <c r="AG18" s="40"/>
      <c r="AH18" s="22"/>
      <c r="AI18" s="21"/>
      <c r="AJ18" s="231">
        <f>+SUM(B29:AL29)</f>
        <v>29222</v>
      </c>
      <c r="AK18" s="232"/>
      <c r="AL18" s="23" t="s">
        <v>1</v>
      </c>
    </row>
    <row r="19" spans="1:39" s="11" customFormat="1" ht="14.25" customHeight="1">
      <c r="A19" s="230"/>
      <c r="B19" s="91"/>
      <c r="C19" s="22"/>
      <c r="D19" s="40"/>
      <c r="E19" s="40"/>
      <c r="F19" s="21"/>
      <c r="G19" s="163" t="s">
        <v>1477</v>
      </c>
      <c r="H19" s="48"/>
      <c r="I19" s="40"/>
      <c r="J19" s="40"/>
      <c r="K19" s="40"/>
      <c r="L19" s="40"/>
      <c r="M19" s="40"/>
      <c r="N19" s="22" t="s">
        <v>1092</v>
      </c>
      <c r="O19" s="48"/>
      <c r="P19" s="40"/>
      <c r="Q19" s="40"/>
      <c r="R19" s="40"/>
      <c r="S19" s="40"/>
      <c r="T19" s="40"/>
      <c r="U19" s="22" t="s">
        <v>1279</v>
      </c>
      <c r="V19" s="48"/>
      <c r="W19" s="40"/>
      <c r="X19" s="40"/>
      <c r="Y19" s="40"/>
      <c r="Z19" s="40"/>
      <c r="AA19" s="40"/>
      <c r="AB19" s="40"/>
      <c r="AC19" s="48"/>
      <c r="AD19" s="40"/>
      <c r="AE19" s="22" t="s">
        <v>87</v>
      </c>
      <c r="AF19" s="40"/>
      <c r="AG19" s="40"/>
      <c r="AH19" s="91"/>
      <c r="AI19" s="21"/>
      <c r="AJ19" s="48"/>
      <c r="AK19" s="156"/>
      <c r="AL19" s="61"/>
    </row>
    <row r="20" spans="1:39" s="11" customFormat="1" ht="14.25" customHeight="1">
      <c r="A20" s="230"/>
      <c r="B20" s="91"/>
      <c r="C20" s="22"/>
      <c r="D20" s="40"/>
      <c r="E20" s="40"/>
      <c r="F20" s="21"/>
      <c r="G20" s="163" t="s">
        <v>1478</v>
      </c>
      <c r="H20" s="48"/>
      <c r="I20" s="40"/>
      <c r="J20" s="40"/>
      <c r="K20" s="40"/>
      <c r="L20" s="40"/>
      <c r="M20" s="40"/>
      <c r="N20" s="22" t="s">
        <v>1093</v>
      </c>
      <c r="O20" s="48"/>
      <c r="P20" s="40"/>
      <c r="Q20" s="40"/>
      <c r="R20" s="40"/>
      <c r="S20" s="40"/>
      <c r="T20" s="40"/>
      <c r="U20" s="22" t="s">
        <v>1280</v>
      </c>
      <c r="V20" s="48"/>
      <c r="W20" s="40"/>
      <c r="X20" s="40"/>
      <c r="Y20" s="40"/>
      <c r="Z20" s="40"/>
      <c r="AA20" s="40"/>
      <c r="AB20" s="40"/>
      <c r="AC20" s="48"/>
      <c r="AD20" s="40"/>
      <c r="AE20" s="22" t="s">
        <v>91</v>
      </c>
      <c r="AF20" s="40"/>
      <c r="AG20" s="40"/>
      <c r="AH20" s="91"/>
      <c r="AI20" s="40"/>
      <c r="AJ20" s="48"/>
      <c r="AK20" s="156"/>
      <c r="AL20" s="61"/>
    </row>
    <row r="21" spans="1:39" s="11" customFormat="1" ht="14.25" customHeight="1">
      <c r="A21" s="230"/>
      <c r="B21" s="91"/>
      <c r="C21" s="22"/>
      <c r="D21" s="40"/>
      <c r="E21" s="40"/>
      <c r="F21" s="40"/>
      <c r="G21" s="190" t="s">
        <v>1479</v>
      </c>
      <c r="H21" s="48"/>
      <c r="I21" s="40"/>
      <c r="J21" s="21"/>
      <c r="K21" s="40"/>
      <c r="L21" s="40"/>
      <c r="M21" s="40"/>
      <c r="N21" s="22" t="s">
        <v>97</v>
      </c>
      <c r="O21" s="48"/>
      <c r="P21" s="40"/>
      <c r="Q21" s="40"/>
      <c r="R21" s="40"/>
      <c r="S21" s="40"/>
      <c r="T21" s="40"/>
      <c r="U21" s="22" t="s">
        <v>1281</v>
      </c>
      <c r="V21" s="48"/>
      <c r="W21" s="40"/>
      <c r="X21" s="40"/>
      <c r="Y21" s="40"/>
      <c r="Z21" s="40"/>
      <c r="AA21" s="40"/>
      <c r="AB21" s="40"/>
      <c r="AC21" s="48"/>
      <c r="AD21" s="40"/>
      <c r="AE21" s="22" t="s">
        <v>90</v>
      </c>
      <c r="AF21" s="40"/>
      <c r="AG21" s="40"/>
      <c r="AH21" s="91"/>
      <c r="AI21" s="40"/>
      <c r="AJ21" s="48"/>
      <c r="AK21" s="156"/>
      <c r="AL21" s="61"/>
    </row>
    <row r="22" spans="1:39" s="11" customFormat="1" ht="14.25" customHeight="1">
      <c r="A22" s="230"/>
      <c r="B22" s="91"/>
      <c r="C22" s="22"/>
      <c r="D22" s="40"/>
      <c r="E22" s="40"/>
      <c r="F22" s="21"/>
      <c r="G22" s="213" t="s">
        <v>1384</v>
      </c>
      <c r="H22" s="48"/>
      <c r="I22" s="40"/>
      <c r="J22" s="21"/>
      <c r="K22" s="40"/>
      <c r="L22" s="40"/>
      <c r="M22" s="40"/>
      <c r="N22" s="22" t="s">
        <v>1094</v>
      </c>
      <c r="O22" s="48"/>
      <c r="P22" s="40"/>
      <c r="Q22" s="40"/>
      <c r="R22" s="40"/>
      <c r="S22" s="40"/>
      <c r="T22" s="40"/>
      <c r="U22" s="22" t="s">
        <v>890</v>
      </c>
      <c r="V22" s="48"/>
      <c r="W22" s="40"/>
      <c r="X22" s="40"/>
      <c r="Y22" s="40"/>
      <c r="Z22" s="40"/>
      <c r="AA22" s="40"/>
      <c r="AB22" s="40"/>
      <c r="AC22" s="48"/>
      <c r="AD22" s="40"/>
      <c r="AE22" s="22" t="s">
        <v>93</v>
      </c>
      <c r="AF22" s="40"/>
      <c r="AG22" s="40"/>
      <c r="AH22" s="91"/>
      <c r="AI22" s="40"/>
      <c r="AJ22" s="48"/>
      <c r="AK22" s="156"/>
      <c r="AL22" s="61"/>
    </row>
    <row r="23" spans="1:39" s="11" customFormat="1" ht="14.25" customHeight="1">
      <c r="A23" s="230"/>
      <c r="B23" s="91"/>
      <c r="C23" s="22"/>
      <c r="D23" s="40"/>
      <c r="E23" s="40"/>
      <c r="F23" s="21"/>
      <c r="G23" s="22" t="s">
        <v>1233</v>
      </c>
      <c r="H23" s="48"/>
      <c r="I23" s="40"/>
      <c r="J23" s="21"/>
      <c r="K23" s="40"/>
      <c r="L23" s="40"/>
      <c r="M23" s="40"/>
      <c r="N23" s="40"/>
      <c r="O23" s="48"/>
      <c r="P23" s="40"/>
      <c r="Q23" s="40"/>
      <c r="R23" s="40"/>
      <c r="S23" s="40"/>
      <c r="T23" s="40"/>
      <c r="U23" s="22" t="s">
        <v>1269</v>
      </c>
      <c r="V23" s="48"/>
      <c r="W23" s="40"/>
      <c r="X23" s="40"/>
      <c r="Y23" s="40"/>
      <c r="Z23" s="40"/>
      <c r="AA23" s="40"/>
      <c r="AB23" s="40"/>
      <c r="AC23" s="48"/>
      <c r="AD23" s="40"/>
      <c r="AE23" s="22" t="s">
        <v>89</v>
      </c>
      <c r="AF23" s="40"/>
      <c r="AG23" s="40"/>
      <c r="AH23" s="91"/>
      <c r="AI23" s="40"/>
      <c r="AJ23" s="48"/>
      <c r="AK23" s="156"/>
      <c r="AL23" s="61"/>
    </row>
    <row r="24" spans="1:39" s="11" customFormat="1" ht="14.25" customHeight="1">
      <c r="A24" s="230"/>
      <c r="B24" s="91"/>
      <c r="C24" s="22"/>
      <c r="D24" s="40"/>
      <c r="E24" s="40"/>
      <c r="F24" s="21"/>
      <c r="G24" s="22" t="s">
        <v>834</v>
      </c>
      <c r="H24" s="48"/>
      <c r="I24" s="40"/>
      <c r="J24" s="21"/>
      <c r="K24" s="40"/>
      <c r="L24" s="40"/>
      <c r="M24" s="40"/>
      <c r="N24" s="40"/>
      <c r="O24" s="48"/>
      <c r="P24" s="40"/>
      <c r="Q24" s="40"/>
      <c r="R24" s="40"/>
      <c r="S24" s="40"/>
      <c r="T24" s="40"/>
      <c r="U24" s="58" t="s">
        <v>1282</v>
      </c>
      <c r="V24" s="48"/>
      <c r="W24" s="40"/>
      <c r="X24" s="40"/>
      <c r="Y24" s="40"/>
      <c r="Z24" s="40"/>
      <c r="AA24" s="40"/>
      <c r="AB24" s="40"/>
      <c r="AC24" s="48"/>
      <c r="AD24" s="40"/>
      <c r="AE24" s="22" t="s">
        <v>94</v>
      </c>
      <c r="AF24" s="40"/>
      <c r="AG24" s="40"/>
      <c r="AH24" s="40"/>
      <c r="AI24" s="40"/>
      <c r="AJ24" s="48"/>
      <c r="AK24" s="156"/>
      <c r="AL24" s="61"/>
    </row>
    <row r="25" spans="1:39" s="11" customFormat="1" ht="14.25" customHeight="1">
      <c r="A25" s="230"/>
      <c r="B25" s="91"/>
      <c r="C25" s="22"/>
      <c r="D25" s="40"/>
      <c r="E25" s="40"/>
      <c r="F25" s="21"/>
      <c r="G25" s="22" t="s">
        <v>1234</v>
      </c>
      <c r="H25" s="48"/>
      <c r="I25" s="21"/>
      <c r="J25" s="40"/>
      <c r="K25" s="40"/>
      <c r="L25" s="40"/>
      <c r="M25" s="40"/>
      <c r="N25" s="40"/>
      <c r="O25" s="48"/>
      <c r="P25" s="40"/>
      <c r="Q25" s="40"/>
      <c r="R25" s="40"/>
      <c r="S25" s="40"/>
      <c r="T25" s="40"/>
      <c r="U25" s="22" t="s">
        <v>835</v>
      </c>
      <c r="V25" s="48"/>
      <c r="W25" s="40"/>
      <c r="X25" s="40"/>
      <c r="Y25" s="40"/>
      <c r="Z25" s="40"/>
      <c r="AA25" s="40"/>
      <c r="AB25" s="40"/>
      <c r="AC25" s="48"/>
      <c r="AD25" s="40"/>
      <c r="AE25" s="22" t="s">
        <v>1341</v>
      </c>
      <c r="AF25" s="40"/>
      <c r="AG25" s="40"/>
      <c r="AH25" s="40"/>
      <c r="AI25" s="40"/>
      <c r="AJ25" s="48"/>
      <c r="AK25" s="156"/>
      <c r="AL25" s="61"/>
    </row>
    <row r="26" spans="1:39" s="11" customFormat="1" ht="14.25" customHeight="1">
      <c r="A26" s="230"/>
      <c r="B26" s="91"/>
      <c r="C26" s="22"/>
      <c r="D26" s="40"/>
      <c r="E26" s="40"/>
      <c r="F26" s="21"/>
      <c r="G26" s="22" t="s">
        <v>1235</v>
      </c>
      <c r="H26" s="48"/>
      <c r="I26" s="21"/>
      <c r="J26" s="40"/>
      <c r="K26" s="40"/>
      <c r="L26" s="40"/>
      <c r="M26" s="40"/>
      <c r="N26" s="40"/>
      <c r="O26" s="48"/>
      <c r="P26" s="40"/>
      <c r="Q26" s="40"/>
      <c r="R26" s="40"/>
      <c r="S26" s="40"/>
      <c r="T26" s="40"/>
      <c r="U26" s="22" t="s">
        <v>836</v>
      </c>
      <c r="V26" s="48"/>
      <c r="W26" s="40"/>
      <c r="X26" s="40"/>
      <c r="Y26" s="40"/>
      <c r="Z26" s="40"/>
      <c r="AA26" s="40"/>
      <c r="AB26" s="40"/>
      <c r="AC26" s="48"/>
      <c r="AD26" s="40"/>
      <c r="AE26" s="22" t="s">
        <v>1342</v>
      </c>
      <c r="AF26" s="40"/>
      <c r="AG26" s="40"/>
      <c r="AH26" s="40"/>
      <c r="AI26" s="40"/>
      <c r="AJ26" s="48"/>
      <c r="AK26" s="156"/>
      <c r="AL26" s="61"/>
    </row>
    <row r="27" spans="1:39" s="11" customFormat="1" ht="14.25" customHeight="1">
      <c r="A27" s="230"/>
      <c r="B27" s="91"/>
      <c r="C27" s="22"/>
      <c r="D27" s="40"/>
      <c r="E27" s="40"/>
      <c r="F27" s="21"/>
      <c r="G27" s="21"/>
      <c r="H27" s="48"/>
      <c r="I27" s="21"/>
      <c r="J27" s="40"/>
      <c r="K27" s="40"/>
      <c r="L27" s="40"/>
      <c r="M27" s="42"/>
      <c r="N27" s="40"/>
      <c r="O27" s="48"/>
      <c r="P27" s="40"/>
      <c r="Q27" s="40"/>
      <c r="R27" s="40"/>
      <c r="S27" s="40"/>
      <c r="T27" s="40"/>
      <c r="U27" s="22" t="s">
        <v>837</v>
      </c>
      <c r="V27" s="48"/>
      <c r="W27" s="40"/>
      <c r="X27" s="40"/>
      <c r="Y27" s="40"/>
      <c r="Z27" s="40"/>
      <c r="AA27" s="40"/>
      <c r="AB27" s="40"/>
      <c r="AC27" s="48"/>
      <c r="AD27" s="40"/>
      <c r="AE27" s="22" t="s">
        <v>92</v>
      </c>
      <c r="AF27" s="40"/>
      <c r="AG27" s="40"/>
      <c r="AH27" s="40"/>
      <c r="AI27" s="40"/>
      <c r="AJ27" s="48"/>
      <c r="AK27" s="156"/>
      <c r="AL27" s="61"/>
    </row>
    <row r="28" spans="1:39" s="11" customFormat="1" ht="14.25" customHeight="1">
      <c r="A28" s="230"/>
      <c r="B28" s="91"/>
      <c r="C28" s="22"/>
      <c r="D28" s="40"/>
      <c r="E28" s="40"/>
      <c r="F28" s="21"/>
      <c r="G28" s="21"/>
      <c r="H28" s="48"/>
      <c r="I28" s="21"/>
      <c r="J28" s="40"/>
      <c r="K28" s="40"/>
      <c r="L28" s="40"/>
      <c r="N28" s="40"/>
      <c r="O28" s="48"/>
      <c r="P28" s="40"/>
      <c r="Q28" s="40"/>
      <c r="R28" s="40"/>
      <c r="S28" s="40"/>
      <c r="T28" s="40"/>
      <c r="U28" s="22" t="s">
        <v>838</v>
      </c>
      <c r="V28" s="48"/>
      <c r="W28" s="40"/>
      <c r="X28" s="40"/>
      <c r="Y28" s="40"/>
      <c r="Z28" s="40"/>
      <c r="AA28" s="40"/>
      <c r="AB28" s="40"/>
      <c r="AC28" s="48"/>
      <c r="AD28" s="40"/>
      <c r="AF28" s="40"/>
      <c r="AG28" s="40"/>
      <c r="AH28" s="40"/>
      <c r="AI28" s="40"/>
      <c r="AJ28" s="48"/>
      <c r="AK28" s="156"/>
      <c r="AL28" s="61"/>
    </row>
    <row r="29" spans="1:39" s="11" customFormat="1" ht="16.5" customHeight="1">
      <c r="A29" s="230"/>
      <c r="B29" s="24"/>
      <c r="C29" s="56"/>
      <c r="D29" s="24"/>
      <c r="E29" s="56"/>
      <c r="F29" s="24"/>
      <c r="G29" s="233">
        <f>549+356+1390+900+27+27+86+1500+300+1500+480+316+25+25+25+600+25+25+25</f>
        <v>8181</v>
      </c>
      <c r="H29" s="234"/>
      <c r="I29" s="24"/>
      <c r="J29" s="56"/>
      <c r="K29" s="24"/>
      <c r="L29" s="24"/>
      <c r="M29" s="242">
        <f>5000+271+339+120+68+50+197+50+60+279+90+158+420</f>
        <v>7102</v>
      </c>
      <c r="N29" s="243"/>
      <c r="O29" s="56"/>
      <c r="P29" s="24"/>
      <c r="Q29" s="56"/>
      <c r="R29" s="56"/>
      <c r="S29" s="24"/>
      <c r="T29" s="56"/>
      <c r="U29" s="233">
        <f>200+300+1836+300+2274+450+378+280+193+303+264+380+280+193+351+118+300+342+558+100+228+317+1600</f>
        <v>11545</v>
      </c>
      <c r="V29" s="234"/>
      <c r="W29" s="24"/>
      <c r="X29" s="56"/>
      <c r="Y29" s="24"/>
      <c r="Z29" s="24"/>
      <c r="AA29" s="24"/>
      <c r="AB29" s="56"/>
      <c r="AC29" s="24"/>
      <c r="AD29" s="24"/>
      <c r="AE29" s="233">
        <f>90+85+235+56+117+55+65+419+66+100+164+85+338+100+50+195+61+113</f>
        <v>2394</v>
      </c>
      <c r="AF29" s="234"/>
      <c r="AG29" s="24"/>
      <c r="AH29" s="56"/>
      <c r="AI29" s="56"/>
      <c r="AJ29" s="24"/>
      <c r="AK29" s="233"/>
      <c r="AL29" s="234"/>
    </row>
    <row r="30" spans="1:39" s="11" customFormat="1" ht="2.15" hidden="1" customHeight="1">
      <c r="A30" s="26"/>
      <c r="B30" s="27"/>
      <c r="C30" s="27"/>
      <c r="D30" s="27"/>
      <c r="E30" s="28"/>
      <c r="F30" s="27"/>
      <c r="G30" s="27"/>
      <c r="H30" s="29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0"/>
    </row>
    <row r="31" spans="1:39" s="11" customFormat="1" ht="2.25" customHeight="1">
      <c r="A31" s="26"/>
      <c r="B31" s="27"/>
      <c r="C31" s="27"/>
      <c r="D31" s="27"/>
      <c r="E31" s="28"/>
      <c r="F31" s="27"/>
      <c r="G31" s="27"/>
      <c r="H31" s="29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0"/>
    </row>
    <row r="32" spans="1:39" s="11" customFormat="1" ht="19.5" customHeight="1">
      <c r="A32" s="12" t="s">
        <v>0</v>
      </c>
      <c r="B32" s="16"/>
      <c r="C32" s="16"/>
      <c r="D32" s="16"/>
      <c r="E32" s="16"/>
      <c r="F32" s="16"/>
      <c r="G32" s="16">
        <v>1000</v>
      </c>
      <c r="H32" s="25"/>
      <c r="I32" s="16">
        <v>1000</v>
      </c>
      <c r="J32" s="16">
        <v>1380</v>
      </c>
      <c r="K32" s="16">
        <v>1380</v>
      </c>
      <c r="L32" s="16">
        <v>1380</v>
      </c>
      <c r="M32" s="16">
        <v>1380</v>
      </c>
      <c r="N32" s="68">
        <v>860</v>
      </c>
      <c r="O32" s="25"/>
      <c r="P32" s="16">
        <v>960</v>
      </c>
      <c r="Q32" s="16">
        <v>1140</v>
      </c>
      <c r="R32" s="16">
        <v>1320</v>
      </c>
      <c r="S32" s="16">
        <v>1140</v>
      </c>
      <c r="T32" s="51">
        <v>1320</v>
      </c>
      <c r="U32" s="16">
        <v>1140</v>
      </c>
      <c r="V32" s="25"/>
      <c r="W32" s="16">
        <v>1140</v>
      </c>
      <c r="X32" s="16">
        <v>960</v>
      </c>
      <c r="Y32" s="16">
        <v>960</v>
      </c>
      <c r="Z32" s="16">
        <v>960</v>
      </c>
      <c r="AA32" s="16">
        <v>960</v>
      </c>
      <c r="AB32" s="16">
        <v>960</v>
      </c>
      <c r="AC32" s="25"/>
      <c r="AD32" s="16">
        <v>960</v>
      </c>
      <c r="AE32" s="16">
        <v>960</v>
      </c>
      <c r="AF32" s="16">
        <v>960</v>
      </c>
      <c r="AG32" s="68">
        <v>1030</v>
      </c>
      <c r="AH32" s="51">
        <v>960</v>
      </c>
      <c r="AI32" s="16"/>
      <c r="AJ32" s="25"/>
      <c r="AK32" s="16"/>
      <c r="AL32" s="60"/>
      <c r="AM32" s="17">
        <f>+SUM(B32:AL32)</f>
        <v>26210</v>
      </c>
    </row>
    <row r="33" spans="1:43" s="17" customFormat="1" ht="19.5" customHeight="1">
      <c r="A33" s="12" t="s">
        <v>18</v>
      </c>
      <c r="B33" s="122">
        <v>11</v>
      </c>
      <c r="C33" s="122">
        <v>11</v>
      </c>
      <c r="D33" s="122">
        <v>11</v>
      </c>
      <c r="E33" s="122">
        <v>11</v>
      </c>
      <c r="F33" s="122">
        <v>8</v>
      </c>
      <c r="G33" s="122">
        <v>8</v>
      </c>
      <c r="H33" s="25"/>
      <c r="I33" s="18">
        <v>11</v>
      </c>
      <c r="J33" s="18">
        <v>11</v>
      </c>
      <c r="K33" s="18">
        <v>11</v>
      </c>
      <c r="L33" s="18">
        <v>11</v>
      </c>
      <c r="M33" s="18">
        <v>8</v>
      </c>
      <c r="N33" s="18">
        <v>8</v>
      </c>
      <c r="O33" s="193"/>
      <c r="P33" s="18">
        <v>9.5</v>
      </c>
      <c r="Q33" s="18">
        <v>11</v>
      </c>
      <c r="R33" s="18">
        <v>9.5</v>
      </c>
      <c r="S33" s="18">
        <v>11</v>
      </c>
      <c r="T33" s="18">
        <v>9.5</v>
      </c>
      <c r="U33" s="18">
        <v>9.5</v>
      </c>
      <c r="V33" s="25"/>
      <c r="W33" s="18">
        <v>8</v>
      </c>
      <c r="X33" s="18">
        <v>8</v>
      </c>
      <c r="Y33" s="18">
        <v>8</v>
      </c>
      <c r="Z33" s="18">
        <v>8</v>
      </c>
      <c r="AA33" s="18">
        <v>8</v>
      </c>
      <c r="AB33" s="18">
        <v>8</v>
      </c>
      <c r="AC33" s="193"/>
      <c r="AD33" s="18">
        <v>8</v>
      </c>
      <c r="AE33" s="18">
        <v>8</v>
      </c>
      <c r="AF33" s="18">
        <v>8</v>
      </c>
      <c r="AG33" s="18">
        <v>8</v>
      </c>
      <c r="AH33" s="18">
        <v>8</v>
      </c>
      <c r="AI33" s="18">
        <v>8</v>
      </c>
      <c r="AJ33" s="25"/>
      <c r="AK33" s="18">
        <v>8</v>
      </c>
      <c r="AL33" s="130">
        <v>8</v>
      </c>
    </row>
    <row r="34" spans="1:43" s="17" customFormat="1" ht="17.25" customHeight="1">
      <c r="A34" s="2" t="s">
        <v>19</v>
      </c>
      <c r="B34" s="41"/>
      <c r="C34" s="41"/>
      <c r="D34" s="41"/>
      <c r="E34" s="41"/>
      <c r="F34" s="41"/>
      <c r="G34" s="41" t="s">
        <v>218</v>
      </c>
      <c r="H34" s="25"/>
      <c r="I34" s="41"/>
      <c r="J34" s="41"/>
      <c r="K34" s="41"/>
      <c r="L34" s="41"/>
      <c r="M34" s="41"/>
      <c r="N34" s="41" t="s">
        <v>512</v>
      </c>
      <c r="O34" s="25"/>
      <c r="P34" s="41"/>
      <c r="Q34" s="41"/>
      <c r="R34" s="41"/>
      <c r="S34" s="41"/>
      <c r="T34" s="41"/>
      <c r="U34" s="41"/>
      <c r="V34" s="25"/>
      <c r="W34" s="41"/>
      <c r="X34" s="41"/>
      <c r="Y34" s="41"/>
      <c r="Z34" s="41"/>
      <c r="AA34" s="41"/>
      <c r="AB34" s="41"/>
      <c r="AC34" s="25"/>
      <c r="AD34" s="41"/>
      <c r="AE34" s="41"/>
      <c r="AF34" s="41"/>
      <c r="AG34" s="41" t="s">
        <v>512</v>
      </c>
      <c r="AH34" s="41"/>
      <c r="AI34" s="41"/>
      <c r="AJ34" s="25"/>
      <c r="AK34" s="41"/>
      <c r="AL34" s="60"/>
    </row>
    <row r="35" spans="1:43" s="17" customFormat="1" ht="17.25" customHeight="1">
      <c r="A35" s="2" t="s">
        <v>20</v>
      </c>
      <c r="B35" s="20"/>
      <c r="C35" s="20"/>
      <c r="D35" s="20"/>
      <c r="E35" s="20"/>
      <c r="F35" s="20"/>
      <c r="G35" s="20"/>
      <c r="H35" s="25"/>
      <c r="I35" s="20"/>
      <c r="J35" s="20"/>
      <c r="K35" s="20"/>
      <c r="L35" s="20"/>
      <c r="M35" s="20"/>
      <c r="N35" s="82">
        <v>0.9</v>
      </c>
      <c r="O35" s="25"/>
      <c r="P35" s="82"/>
      <c r="Q35" s="20"/>
      <c r="R35" s="20"/>
      <c r="S35" s="20"/>
      <c r="T35" s="20"/>
      <c r="U35" s="20"/>
      <c r="V35" s="25"/>
      <c r="W35" s="20"/>
      <c r="X35" s="20"/>
      <c r="Y35" s="20"/>
      <c r="Z35" s="20"/>
      <c r="AA35" s="20"/>
      <c r="AB35" s="20"/>
      <c r="AC35" s="25"/>
      <c r="AD35" s="20"/>
      <c r="AE35" s="20"/>
      <c r="AF35" s="20"/>
      <c r="AG35" s="82">
        <v>0.9</v>
      </c>
      <c r="AH35" s="20"/>
      <c r="AI35" s="20"/>
      <c r="AJ35" s="25"/>
      <c r="AK35" s="20"/>
      <c r="AL35" s="60"/>
      <c r="AM35" s="11"/>
      <c r="AN35" s="11"/>
      <c r="AO35" s="11"/>
      <c r="AP35" s="11"/>
      <c r="AQ35" s="11"/>
    </row>
    <row r="36" spans="1:43" s="11" customFormat="1" ht="13.5" customHeight="1">
      <c r="A36" s="229" t="s">
        <v>31</v>
      </c>
      <c r="B36" s="46"/>
      <c r="C36" s="49"/>
      <c r="D36" s="40"/>
      <c r="E36" s="47"/>
      <c r="F36" s="47"/>
      <c r="G36" s="204" t="s">
        <v>486</v>
      </c>
      <c r="H36" s="48"/>
      <c r="J36" s="47"/>
      <c r="K36" s="40"/>
      <c r="L36" s="40"/>
      <c r="M36" s="40"/>
      <c r="N36" s="83" t="s">
        <v>529</v>
      </c>
      <c r="O36" s="48"/>
      <c r="P36" s="40"/>
      <c r="Q36" s="40"/>
      <c r="R36" s="40"/>
      <c r="S36" s="40"/>
      <c r="T36" s="83" t="s">
        <v>529</v>
      </c>
      <c r="V36" s="48"/>
      <c r="W36" s="40"/>
      <c r="AA36" s="40"/>
      <c r="AC36" s="48"/>
      <c r="AD36" s="40"/>
      <c r="AE36" s="40"/>
      <c r="AG36" s="73" t="s">
        <v>486</v>
      </c>
      <c r="AI36" s="47"/>
      <c r="AJ36" s="48"/>
      <c r="AK36" s="62"/>
      <c r="AL36" s="61"/>
    </row>
    <row r="37" spans="1:43" s="11" customFormat="1" ht="13.5" customHeight="1">
      <c r="A37" s="230"/>
      <c r="B37" s="22"/>
      <c r="C37" s="22"/>
      <c r="D37" s="40"/>
      <c r="E37" s="21"/>
      <c r="F37" s="21"/>
      <c r="G37" s="171" t="s">
        <v>1481</v>
      </c>
      <c r="H37" s="48"/>
      <c r="I37" s="40"/>
      <c r="J37" s="21"/>
      <c r="K37" s="40"/>
      <c r="L37" s="40"/>
      <c r="M37" s="40"/>
      <c r="N37" s="22" t="s">
        <v>554</v>
      </c>
      <c r="O37" s="48"/>
      <c r="P37" s="40"/>
      <c r="Q37" s="40"/>
      <c r="R37" s="40"/>
      <c r="S37" s="40"/>
      <c r="T37" s="22" t="s">
        <v>567</v>
      </c>
      <c r="U37" s="40"/>
      <c r="V37" s="48"/>
      <c r="W37" s="40"/>
      <c r="X37" s="40"/>
      <c r="Y37" s="40"/>
      <c r="Z37" s="40"/>
      <c r="AA37" s="40"/>
      <c r="AB37" s="40"/>
      <c r="AC37" s="48"/>
      <c r="AD37" s="40"/>
      <c r="AE37" s="40"/>
      <c r="AF37" s="40"/>
      <c r="AG37" s="22" t="s">
        <v>488</v>
      </c>
      <c r="AH37" s="40"/>
      <c r="AI37" s="21"/>
      <c r="AJ37" s="48"/>
      <c r="AK37" s="58"/>
      <c r="AL37" s="61"/>
    </row>
    <row r="38" spans="1:43" s="11" customFormat="1" ht="13.5" customHeight="1">
      <c r="A38" s="230"/>
      <c r="B38" s="22"/>
      <c r="C38" s="22"/>
      <c r="D38" s="40"/>
      <c r="E38" s="83"/>
      <c r="F38" s="21"/>
      <c r="G38" s="213" t="s">
        <v>1384</v>
      </c>
      <c r="H38" s="48"/>
      <c r="I38" s="40"/>
      <c r="J38" s="21"/>
      <c r="K38" s="40"/>
      <c r="L38" s="40"/>
      <c r="M38" s="40"/>
      <c r="N38" s="22" t="s">
        <v>555</v>
      </c>
      <c r="O38" s="48"/>
      <c r="P38" s="40"/>
      <c r="Q38" s="40"/>
      <c r="R38" s="40"/>
      <c r="S38" s="40"/>
      <c r="T38" s="22" t="s">
        <v>565</v>
      </c>
      <c r="U38" s="40"/>
      <c r="V38" s="48"/>
      <c r="W38" s="40"/>
      <c r="X38" s="40"/>
      <c r="Y38" s="40"/>
      <c r="Z38" s="40"/>
      <c r="AA38" s="40"/>
      <c r="AB38" s="40"/>
      <c r="AC38" s="48"/>
      <c r="AD38" s="40"/>
      <c r="AE38" s="40"/>
      <c r="AF38" s="40"/>
      <c r="AG38" s="22" t="s">
        <v>487</v>
      </c>
      <c r="AH38" s="40"/>
      <c r="AI38" s="21"/>
      <c r="AJ38" s="48"/>
      <c r="AK38" s="58"/>
      <c r="AL38" s="61"/>
    </row>
    <row r="39" spans="1:43" s="11" customFormat="1" ht="13.5" customHeight="1">
      <c r="A39" s="230"/>
      <c r="B39" s="22"/>
      <c r="C39" s="55"/>
      <c r="D39" s="40"/>
      <c r="E39" s="40"/>
      <c r="F39" s="21"/>
      <c r="G39" s="171" t="s">
        <v>1482</v>
      </c>
      <c r="H39" s="48"/>
      <c r="I39" s="40"/>
      <c r="J39" s="21"/>
      <c r="K39" s="40"/>
      <c r="L39" s="40"/>
      <c r="M39" s="40"/>
      <c r="N39" s="22" t="s">
        <v>556</v>
      </c>
      <c r="O39" s="48"/>
      <c r="P39" s="40"/>
      <c r="Q39" s="40"/>
      <c r="R39" s="40"/>
      <c r="S39" s="40"/>
      <c r="T39" s="53" t="s">
        <v>950</v>
      </c>
      <c r="U39" s="40"/>
      <c r="V39" s="48"/>
      <c r="W39" s="40"/>
      <c r="X39" s="40"/>
      <c r="Y39" s="40"/>
      <c r="Z39" s="40"/>
      <c r="AA39" s="40"/>
      <c r="AB39" s="40"/>
      <c r="AC39" s="48"/>
      <c r="AD39" s="40"/>
      <c r="AE39" s="40"/>
      <c r="AF39" s="40"/>
      <c r="AG39" s="70" t="s">
        <v>1198</v>
      </c>
      <c r="AH39" s="40"/>
      <c r="AI39" s="21"/>
      <c r="AJ39" s="48"/>
      <c r="AK39" s="58"/>
      <c r="AL39" s="61"/>
    </row>
    <row r="40" spans="1:43" s="11" customFormat="1" ht="13.5" customHeight="1">
      <c r="A40" s="230"/>
      <c r="B40" s="22"/>
      <c r="C40" s="22"/>
      <c r="D40" s="40"/>
      <c r="E40" s="40"/>
      <c r="F40" s="21"/>
      <c r="G40" s="171" t="s">
        <v>1483</v>
      </c>
      <c r="H40" s="48"/>
      <c r="I40" s="40"/>
      <c r="J40" s="21"/>
      <c r="K40" s="40"/>
      <c r="L40" s="40"/>
      <c r="M40" s="40"/>
      <c r="N40" s="22" t="s">
        <v>557</v>
      </c>
      <c r="O40" s="48"/>
      <c r="P40" s="40"/>
      <c r="Q40" s="40"/>
      <c r="R40" s="40"/>
      <c r="S40" s="40"/>
      <c r="T40" s="22" t="s">
        <v>1057</v>
      </c>
      <c r="U40" s="40"/>
      <c r="V40" s="48"/>
      <c r="W40" s="40"/>
      <c r="X40" s="40"/>
      <c r="Y40" s="40"/>
      <c r="Z40" s="40"/>
      <c r="AA40" s="40"/>
      <c r="AB40" s="40"/>
      <c r="AC40" s="48"/>
      <c r="AD40" s="40"/>
      <c r="AE40" s="40"/>
      <c r="AF40" s="40"/>
      <c r="AG40" s="22" t="s">
        <v>948</v>
      </c>
      <c r="AH40" s="40"/>
      <c r="AI40" s="21"/>
      <c r="AJ40" s="48"/>
      <c r="AK40" s="58"/>
      <c r="AL40" s="61"/>
    </row>
    <row r="41" spans="1:43" s="11" customFormat="1" ht="13.5" customHeight="1">
      <c r="A41" s="230"/>
      <c r="B41" s="22"/>
      <c r="C41" s="22"/>
      <c r="D41" s="40"/>
      <c r="E41" s="40"/>
      <c r="F41" s="21"/>
      <c r="G41" s="171" t="s">
        <v>1484</v>
      </c>
      <c r="H41" s="48"/>
      <c r="I41" s="40"/>
      <c r="J41" s="21"/>
      <c r="K41" s="40"/>
      <c r="L41" s="40"/>
      <c r="M41" s="40"/>
      <c r="N41" s="22" t="s">
        <v>558</v>
      </c>
      <c r="O41" s="48"/>
      <c r="P41" s="40"/>
      <c r="Q41" s="40"/>
      <c r="R41" s="40"/>
      <c r="S41" s="40"/>
      <c r="T41" s="22" t="s">
        <v>566</v>
      </c>
      <c r="U41" s="40"/>
      <c r="V41" s="48"/>
      <c r="W41" s="40"/>
      <c r="X41" s="40"/>
      <c r="Y41" s="40"/>
      <c r="Z41" s="40"/>
      <c r="AA41" s="40"/>
      <c r="AB41" s="40"/>
      <c r="AC41" s="48"/>
      <c r="AD41" s="40"/>
      <c r="AE41" s="40"/>
      <c r="AF41" s="40"/>
      <c r="AG41" s="22" t="s">
        <v>949</v>
      </c>
      <c r="AH41" s="40"/>
      <c r="AI41" s="21"/>
      <c r="AJ41" s="48"/>
      <c r="AK41" s="58"/>
      <c r="AL41" s="61"/>
    </row>
    <row r="42" spans="1:43" s="11" customFormat="1" ht="13.5" customHeight="1">
      <c r="A42" s="230"/>
      <c r="B42" s="22"/>
      <c r="C42" s="22"/>
      <c r="D42" s="40"/>
      <c r="E42" s="40"/>
      <c r="F42" s="21"/>
      <c r="G42" s="171" t="s">
        <v>1485</v>
      </c>
      <c r="H42" s="48"/>
      <c r="I42" s="40"/>
      <c r="J42" s="21"/>
      <c r="K42" s="40"/>
      <c r="L42" s="40"/>
      <c r="M42" s="40"/>
      <c r="N42" s="22" t="s">
        <v>559</v>
      </c>
      <c r="O42" s="48"/>
      <c r="P42" s="40"/>
      <c r="Q42" s="40"/>
      <c r="R42" s="40"/>
      <c r="S42" s="40"/>
      <c r="T42" s="53" t="s">
        <v>953</v>
      </c>
      <c r="U42" s="40"/>
      <c r="V42" s="48"/>
      <c r="W42" s="40"/>
      <c r="X42" s="40"/>
      <c r="Y42" s="40"/>
      <c r="Z42" s="40"/>
      <c r="AA42" s="40"/>
      <c r="AB42" s="40"/>
      <c r="AC42" s="48"/>
      <c r="AD42" s="40"/>
      <c r="AE42" s="40"/>
      <c r="AF42" s="40"/>
      <c r="AG42" s="22" t="s">
        <v>946</v>
      </c>
      <c r="AH42" s="40"/>
      <c r="AI42" s="21"/>
      <c r="AJ42" s="48"/>
      <c r="AK42" s="58"/>
      <c r="AL42" s="61"/>
    </row>
    <row r="43" spans="1:43" s="11" customFormat="1" ht="13.5" customHeight="1">
      <c r="A43" s="230"/>
      <c r="B43" s="22"/>
      <c r="C43" s="22"/>
      <c r="D43" s="40"/>
      <c r="E43" s="40"/>
      <c r="F43" s="21"/>
      <c r="G43" s="171" t="s">
        <v>1486</v>
      </c>
      <c r="H43" s="48"/>
      <c r="I43" s="40"/>
      <c r="J43" s="21"/>
      <c r="K43" s="40"/>
      <c r="L43" s="40"/>
      <c r="M43" s="40"/>
      <c r="N43" s="22" t="s">
        <v>560</v>
      </c>
      <c r="O43" s="48"/>
      <c r="P43" s="40"/>
      <c r="Q43" s="40"/>
      <c r="R43" s="40"/>
      <c r="S43" s="40"/>
      <c r="T43" s="22" t="s">
        <v>569</v>
      </c>
      <c r="U43" s="40"/>
      <c r="V43" s="48"/>
      <c r="W43" s="40"/>
      <c r="X43" s="40"/>
      <c r="Y43" s="40"/>
      <c r="Z43" s="40"/>
      <c r="AA43" s="40"/>
      <c r="AB43" s="40"/>
      <c r="AC43" s="48"/>
      <c r="AD43" s="40"/>
      <c r="AE43" s="40"/>
      <c r="AF43" s="40"/>
      <c r="AG43" s="22" t="s">
        <v>947</v>
      </c>
      <c r="AH43" s="40"/>
      <c r="AI43" s="21"/>
      <c r="AJ43" s="48"/>
      <c r="AK43" s="58"/>
      <c r="AL43" s="61"/>
    </row>
    <row r="44" spans="1:43" s="11" customFormat="1" ht="13.5" customHeight="1">
      <c r="A44" s="230"/>
      <c r="B44" s="22"/>
      <c r="C44" s="22"/>
      <c r="D44" s="40"/>
      <c r="E44" s="40"/>
      <c r="F44" s="21"/>
      <c r="G44" s="171" t="s">
        <v>1487</v>
      </c>
      <c r="H44" s="48"/>
      <c r="I44" s="40"/>
      <c r="J44" s="21"/>
      <c r="K44" s="40"/>
      <c r="L44" s="40"/>
      <c r="M44" s="40"/>
      <c r="N44" s="22" t="s">
        <v>561</v>
      </c>
      <c r="O44" s="48"/>
      <c r="P44" s="40"/>
      <c r="Q44" s="40"/>
      <c r="R44" s="40"/>
      <c r="S44" s="40"/>
      <c r="T44" s="53" t="s">
        <v>951</v>
      </c>
      <c r="U44" s="40"/>
      <c r="V44" s="48"/>
      <c r="W44" s="21"/>
      <c r="X44" s="40"/>
      <c r="Y44" s="40"/>
      <c r="Z44" s="40"/>
      <c r="AA44" s="40"/>
      <c r="AB44" s="40"/>
      <c r="AC44" s="48"/>
      <c r="AD44" s="40"/>
      <c r="AE44" s="40"/>
      <c r="AF44" s="40"/>
      <c r="AG44" s="40"/>
      <c r="AH44" s="40"/>
      <c r="AI44" s="21"/>
      <c r="AJ44" s="231">
        <f>+SUM(B63:AL63)</f>
        <v>24726</v>
      </c>
      <c r="AK44" s="232"/>
      <c r="AL44" s="23" t="s">
        <v>1</v>
      </c>
    </row>
    <row r="45" spans="1:43" s="11" customFormat="1" ht="13.5" customHeight="1">
      <c r="A45" s="230"/>
      <c r="B45" s="22"/>
      <c r="C45" s="22"/>
      <c r="D45" s="40"/>
      <c r="E45" s="40"/>
      <c r="F45" s="21"/>
      <c r="G45" s="171" t="s">
        <v>1488</v>
      </c>
      <c r="H45" s="48"/>
      <c r="I45" s="40"/>
      <c r="J45" s="21"/>
      <c r="K45" s="40"/>
      <c r="L45" s="40"/>
      <c r="M45" s="40"/>
      <c r="N45" s="22" t="s">
        <v>549</v>
      </c>
      <c r="O45" s="48"/>
      <c r="P45" s="40"/>
      <c r="Q45" s="40"/>
      <c r="R45" s="40"/>
      <c r="S45" s="40"/>
      <c r="T45" s="53" t="s">
        <v>952</v>
      </c>
      <c r="U45" s="40"/>
      <c r="V45" s="48"/>
      <c r="W45" s="21"/>
      <c r="X45" s="40"/>
      <c r="Y45" s="40"/>
      <c r="Z45" s="40"/>
      <c r="AA45" s="40"/>
      <c r="AB45" s="40"/>
      <c r="AC45" s="48"/>
      <c r="AD45" s="40"/>
      <c r="AE45" s="40"/>
      <c r="AF45" s="40"/>
      <c r="AG45" s="22" t="s">
        <v>1266</v>
      </c>
      <c r="AH45" s="40"/>
      <c r="AI45" s="21"/>
      <c r="AJ45" s="48"/>
      <c r="AK45" s="58"/>
      <c r="AL45" s="61"/>
    </row>
    <row r="46" spans="1:43" s="11" customFormat="1" ht="13.5" customHeight="1">
      <c r="A46" s="230"/>
      <c r="B46" s="91"/>
      <c r="C46" s="22"/>
      <c r="D46" s="40"/>
      <c r="E46" s="203"/>
      <c r="F46" s="21"/>
      <c r="G46" s="171" t="s">
        <v>1489</v>
      </c>
      <c r="H46" s="48"/>
      <c r="I46" s="40"/>
      <c r="J46" s="21"/>
      <c r="K46" s="40"/>
      <c r="L46" s="40"/>
      <c r="M46" s="40"/>
      <c r="N46" s="22" t="s">
        <v>550</v>
      </c>
      <c r="O46" s="48"/>
      <c r="P46" s="40"/>
      <c r="Q46" s="40"/>
      <c r="R46" s="40"/>
      <c r="S46" s="40"/>
      <c r="T46" s="53" t="s">
        <v>955</v>
      </c>
      <c r="U46" s="40"/>
      <c r="V46" s="48"/>
      <c r="W46" s="21"/>
      <c r="X46" s="40"/>
      <c r="Y46" s="40"/>
      <c r="Z46" s="40"/>
      <c r="AA46" s="40"/>
      <c r="AB46" s="40"/>
      <c r="AC46" s="48"/>
      <c r="AD46" s="40"/>
      <c r="AE46" s="40"/>
      <c r="AF46" s="40"/>
      <c r="AG46" s="70" t="s">
        <v>483</v>
      </c>
      <c r="AH46" s="40"/>
      <c r="AI46" s="21"/>
      <c r="AJ46" s="48"/>
      <c r="AK46" s="156"/>
      <c r="AL46" s="61"/>
    </row>
    <row r="47" spans="1:43" s="11" customFormat="1" ht="13.5" customHeight="1">
      <c r="A47" s="230"/>
      <c r="B47" s="91"/>
      <c r="C47" s="40"/>
      <c r="D47" s="40"/>
      <c r="E47" s="21"/>
      <c r="F47" s="21"/>
      <c r="G47" s="171" t="s">
        <v>1490</v>
      </c>
      <c r="H47" s="48"/>
      <c r="I47" s="40"/>
      <c r="J47" s="21"/>
      <c r="K47" s="40"/>
      <c r="L47" s="40"/>
      <c r="M47" s="40"/>
      <c r="N47" s="22" t="s">
        <v>551</v>
      </c>
      <c r="O47" s="48"/>
      <c r="P47" s="40"/>
      <c r="Q47" s="40"/>
      <c r="R47" s="40"/>
      <c r="S47" s="40"/>
      <c r="T47" s="53" t="s">
        <v>956</v>
      </c>
      <c r="U47" s="40"/>
      <c r="V47" s="48"/>
      <c r="W47" s="21"/>
      <c r="X47" s="40"/>
      <c r="Y47" s="40"/>
      <c r="Z47" s="40"/>
      <c r="AA47" s="40"/>
      <c r="AB47" s="40"/>
      <c r="AC47" s="48"/>
      <c r="AD47" s="40"/>
      <c r="AE47" s="40"/>
      <c r="AF47" s="40"/>
      <c r="AG47" s="22" t="s">
        <v>484</v>
      </c>
      <c r="AH47" s="40"/>
      <c r="AI47" s="40"/>
      <c r="AJ47" s="48"/>
      <c r="AK47" s="156"/>
      <c r="AL47" s="61"/>
    </row>
    <row r="48" spans="1:43" s="11" customFormat="1" ht="13.5" customHeight="1">
      <c r="A48" s="230"/>
      <c r="B48" s="91"/>
      <c r="C48" s="40"/>
      <c r="D48" s="40"/>
      <c r="E48" s="21"/>
      <c r="F48" s="21"/>
      <c r="G48" s="195" t="s">
        <v>1365</v>
      </c>
      <c r="H48" s="48"/>
      <c r="I48" s="40"/>
      <c r="J48" s="21"/>
      <c r="K48" s="40"/>
      <c r="L48" s="40"/>
      <c r="M48" s="40"/>
      <c r="N48" s="22" t="s">
        <v>552</v>
      </c>
      <c r="O48" s="48"/>
      <c r="P48" s="40"/>
      <c r="Q48" s="40"/>
      <c r="R48" s="40"/>
      <c r="S48" s="40"/>
      <c r="T48" s="53" t="s">
        <v>957</v>
      </c>
      <c r="U48" s="40"/>
      <c r="V48" s="48"/>
      <c r="W48" s="21"/>
      <c r="X48" s="40"/>
      <c r="Y48" s="83"/>
      <c r="Z48" s="40"/>
      <c r="AA48" s="40"/>
      <c r="AB48" s="40"/>
      <c r="AC48" s="48"/>
      <c r="AD48" s="40"/>
      <c r="AE48" s="40"/>
      <c r="AF48" s="40"/>
      <c r="AG48" s="22" t="s">
        <v>485</v>
      </c>
      <c r="AH48" s="40"/>
      <c r="AI48" s="40"/>
      <c r="AJ48" s="48"/>
      <c r="AK48" s="156"/>
      <c r="AL48" s="61"/>
    </row>
    <row r="49" spans="1:38" s="11" customFormat="1" ht="13.5" customHeight="1">
      <c r="A49" s="230"/>
      <c r="B49" s="91"/>
      <c r="C49" s="40"/>
      <c r="D49" s="40"/>
      <c r="E49" s="21"/>
      <c r="F49" s="21"/>
      <c r="G49" s="195"/>
      <c r="H49" s="48"/>
      <c r="I49" s="40"/>
      <c r="J49" s="21"/>
      <c r="K49" s="40"/>
      <c r="L49" s="40"/>
      <c r="M49" s="40"/>
      <c r="N49" s="22" t="s">
        <v>553</v>
      </c>
      <c r="O49" s="48"/>
      <c r="P49" s="40"/>
      <c r="Q49" s="40"/>
      <c r="R49" s="40"/>
      <c r="S49" s="40"/>
      <c r="T49" s="22" t="s">
        <v>1059</v>
      </c>
      <c r="U49" s="40"/>
      <c r="V49" s="48"/>
      <c r="W49" s="21"/>
      <c r="X49" s="40"/>
      <c r="Y49" s="40"/>
      <c r="Z49" s="40"/>
      <c r="AA49" s="40"/>
      <c r="AB49" s="40"/>
      <c r="AC49" s="48"/>
      <c r="AD49" s="40"/>
      <c r="AE49" s="40"/>
      <c r="AF49" s="40"/>
      <c r="AG49" s="40"/>
      <c r="AH49" s="40"/>
      <c r="AI49" s="40"/>
      <c r="AJ49" s="48"/>
      <c r="AK49" s="156"/>
      <c r="AL49" s="61"/>
    </row>
    <row r="50" spans="1:38" s="11" customFormat="1" ht="13.5" customHeight="1">
      <c r="A50" s="230"/>
      <c r="B50" s="91"/>
      <c r="C50" s="40"/>
      <c r="D50" s="40"/>
      <c r="E50" s="21"/>
      <c r="F50" s="21"/>
      <c r="G50" s="40"/>
      <c r="H50" s="48"/>
      <c r="I50" s="40"/>
      <c r="J50" s="21"/>
      <c r="K50" s="40"/>
      <c r="L50" s="40"/>
      <c r="M50" s="40"/>
      <c r="N50" s="22" t="s">
        <v>547</v>
      </c>
      <c r="O50" s="48"/>
      <c r="P50" s="40"/>
      <c r="Q50" s="40"/>
      <c r="R50" s="40"/>
      <c r="S50" s="40"/>
      <c r="T50" s="53" t="s">
        <v>958</v>
      </c>
      <c r="U50" s="40"/>
      <c r="V50" s="48"/>
      <c r="W50" s="21"/>
      <c r="X50" s="40"/>
      <c r="Y50" s="40"/>
      <c r="Z50" s="40"/>
      <c r="AA50" s="40"/>
      <c r="AB50" s="40"/>
      <c r="AC50" s="48"/>
      <c r="AD50" s="40"/>
      <c r="AE50" s="40"/>
      <c r="AF50" s="40"/>
      <c r="AG50" s="40"/>
      <c r="AH50" s="40"/>
      <c r="AI50" s="40"/>
      <c r="AJ50" s="48"/>
      <c r="AK50" s="156"/>
      <c r="AL50" s="61"/>
    </row>
    <row r="51" spans="1:38" s="11" customFormat="1" ht="13.5" customHeight="1">
      <c r="A51" s="230"/>
      <c r="B51" s="91"/>
      <c r="C51" s="40"/>
      <c r="D51" s="40"/>
      <c r="E51" s="21"/>
      <c r="F51" s="21"/>
      <c r="G51" s="40"/>
      <c r="H51" s="48"/>
      <c r="I51" s="40"/>
      <c r="J51" s="21"/>
      <c r="K51" s="40"/>
      <c r="L51" s="40"/>
      <c r="M51" s="40"/>
      <c r="N51" s="22" t="s">
        <v>548</v>
      </c>
      <c r="O51" s="48"/>
      <c r="P51" s="40"/>
      <c r="Q51" s="40"/>
      <c r="R51" s="40"/>
      <c r="S51" s="40"/>
      <c r="T51" s="53" t="s">
        <v>959</v>
      </c>
      <c r="U51" s="40"/>
      <c r="V51" s="48"/>
      <c r="W51" s="21"/>
      <c r="X51" s="40"/>
      <c r="Y51" s="40"/>
      <c r="Z51" s="40"/>
      <c r="AA51" s="40"/>
      <c r="AB51" s="40"/>
      <c r="AC51" s="48"/>
      <c r="AD51" s="40"/>
      <c r="AE51" s="40"/>
      <c r="AF51" s="40"/>
      <c r="AG51" s="40"/>
      <c r="AH51" s="40"/>
      <c r="AI51" s="40"/>
      <c r="AJ51" s="48"/>
      <c r="AK51" s="156"/>
      <c r="AL51" s="61"/>
    </row>
    <row r="52" spans="1:38" s="11" customFormat="1" ht="13.5" customHeight="1">
      <c r="A52" s="230"/>
      <c r="B52" s="91"/>
      <c r="C52" s="40"/>
      <c r="D52" s="40"/>
      <c r="E52" s="21"/>
      <c r="F52" s="21"/>
      <c r="G52" s="40"/>
      <c r="H52" s="48"/>
      <c r="I52" s="40"/>
      <c r="J52" s="21"/>
      <c r="K52" s="40"/>
      <c r="L52" s="40"/>
      <c r="M52" s="40"/>
      <c r="N52" s="22" t="s">
        <v>564</v>
      </c>
      <c r="O52" s="48"/>
      <c r="P52" s="40"/>
      <c r="Q52" s="40"/>
      <c r="R52" s="40"/>
      <c r="S52" s="40"/>
      <c r="T52" s="53" t="s">
        <v>960</v>
      </c>
      <c r="U52" s="40"/>
      <c r="V52" s="48"/>
      <c r="W52" s="21"/>
      <c r="X52" s="40"/>
      <c r="Y52" s="40"/>
      <c r="Z52" s="40"/>
      <c r="AA52" s="40"/>
      <c r="AB52" s="40"/>
      <c r="AC52" s="48"/>
      <c r="AD52" s="40"/>
      <c r="AE52" s="40"/>
      <c r="AF52" s="91"/>
      <c r="AG52" s="40"/>
      <c r="AH52" s="40"/>
      <c r="AI52" s="40"/>
      <c r="AJ52" s="48"/>
      <c r="AK52" s="156"/>
      <c r="AL52" s="61"/>
    </row>
    <row r="53" spans="1:38" s="11" customFormat="1" ht="13.5" customHeight="1">
      <c r="A53" s="230"/>
      <c r="B53" s="91"/>
      <c r="C53" s="40"/>
      <c r="D53" s="40"/>
      <c r="E53" s="21"/>
      <c r="F53" s="21"/>
      <c r="G53" s="40"/>
      <c r="H53" s="48"/>
      <c r="I53" s="40"/>
      <c r="J53" s="21"/>
      <c r="K53" s="40"/>
      <c r="L53" s="40"/>
      <c r="M53" s="40"/>
      <c r="N53" s="22" t="s">
        <v>562</v>
      </c>
      <c r="O53" s="48"/>
      <c r="P53" s="40"/>
      <c r="Q53" s="40"/>
      <c r="R53" s="40"/>
      <c r="S53" s="40"/>
      <c r="T53" s="22" t="s">
        <v>1060</v>
      </c>
      <c r="U53" s="40"/>
      <c r="V53" s="48"/>
      <c r="W53" s="21"/>
      <c r="X53" s="40"/>
      <c r="Y53" s="40"/>
      <c r="Z53" s="40"/>
      <c r="AA53" s="40"/>
      <c r="AB53" s="40"/>
      <c r="AC53" s="48"/>
      <c r="AD53" s="40"/>
      <c r="AE53" s="40"/>
      <c r="AF53" s="40"/>
      <c r="AG53" s="40"/>
      <c r="AH53" s="91"/>
      <c r="AI53" s="40"/>
      <c r="AJ53" s="48"/>
      <c r="AK53" s="156"/>
      <c r="AL53" s="61"/>
    </row>
    <row r="54" spans="1:38" s="11" customFormat="1" ht="13.5" customHeight="1">
      <c r="A54" s="230"/>
      <c r="B54" s="91"/>
      <c r="C54" s="40"/>
      <c r="D54" s="40"/>
      <c r="E54" s="21"/>
      <c r="F54" s="21"/>
      <c r="G54" s="40"/>
      <c r="H54" s="48"/>
      <c r="I54" s="40"/>
      <c r="J54" s="21"/>
      <c r="K54" s="40"/>
      <c r="L54" s="40"/>
      <c r="M54" s="40"/>
      <c r="N54" s="22" t="s">
        <v>563</v>
      </c>
      <c r="O54" s="48"/>
      <c r="P54" s="40"/>
      <c r="Q54" s="40"/>
      <c r="R54" s="40"/>
      <c r="S54" s="40"/>
      <c r="T54" s="22" t="s">
        <v>568</v>
      </c>
      <c r="U54" s="40"/>
      <c r="V54" s="48"/>
      <c r="W54" s="21"/>
      <c r="X54" s="40"/>
      <c r="Y54" s="40"/>
      <c r="Z54" s="40"/>
      <c r="AA54" s="40"/>
      <c r="AB54" s="40"/>
      <c r="AC54" s="48"/>
      <c r="AD54" s="40"/>
      <c r="AE54" s="40"/>
      <c r="AF54" s="40"/>
      <c r="AG54" s="40"/>
      <c r="AH54" s="91"/>
      <c r="AI54" s="40"/>
      <c r="AJ54" s="48"/>
      <c r="AK54" s="156"/>
      <c r="AL54" s="61"/>
    </row>
    <row r="55" spans="1:38" s="11" customFormat="1" ht="13.5" customHeight="1">
      <c r="A55" s="230"/>
      <c r="B55" s="91"/>
      <c r="C55" s="40"/>
      <c r="D55" s="40"/>
      <c r="E55" s="21"/>
      <c r="F55" s="21"/>
      <c r="G55" s="40"/>
      <c r="H55" s="48"/>
      <c r="I55" s="40"/>
      <c r="J55" s="21"/>
      <c r="K55" s="40"/>
      <c r="L55" s="40"/>
      <c r="M55" s="40"/>
      <c r="N55" s="40"/>
      <c r="O55" s="48"/>
      <c r="P55" s="40"/>
      <c r="Q55" s="40"/>
      <c r="R55" s="40"/>
      <c r="S55" s="40"/>
      <c r="T55" s="53" t="s">
        <v>954</v>
      </c>
      <c r="U55" s="40"/>
      <c r="V55" s="48"/>
      <c r="W55" s="21"/>
      <c r="X55" s="40"/>
      <c r="Y55" s="40"/>
      <c r="Z55" s="40"/>
      <c r="AA55" s="40"/>
      <c r="AB55" s="40"/>
      <c r="AC55" s="48"/>
      <c r="AD55" s="40"/>
      <c r="AE55" s="40"/>
      <c r="AF55" s="40"/>
      <c r="AG55" s="40"/>
      <c r="AH55" s="91"/>
      <c r="AI55" s="40"/>
      <c r="AJ55" s="48"/>
      <c r="AK55" s="156"/>
      <c r="AL55" s="61"/>
    </row>
    <row r="56" spans="1:38" s="11" customFormat="1" ht="13.5" customHeight="1">
      <c r="A56" s="230"/>
      <c r="B56" s="91"/>
      <c r="C56" s="40"/>
      <c r="D56" s="40"/>
      <c r="E56" s="21"/>
      <c r="F56" s="21"/>
      <c r="G56" s="40"/>
      <c r="H56" s="48"/>
      <c r="I56" s="40"/>
      <c r="J56" s="21"/>
      <c r="K56" s="40"/>
      <c r="L56" s="40"/>
      <c r="M56" s="40"/>
      <c r="N56" s="40"/>
      <c r="O56" s="48"/>
      <c r="P56" s="40"/>
      <c r="Q56" s="40"/>
      <c r="R56" s="40"/>
      <c r="S56" s="40"/>
      <c r="T56" s="22" t="s">
        <v>1058</v>
      </c>
      <c r="U56" s="40"/>
      <c r="V56" s="48"/>
      <c r="W56" s="21"/>
      <c r="X56" s="40"/>
      <c r="Y56" s="40"/>
      <c r="Z56" s="40"/>
      <c r="AA56" s="40"/>
      <c r="AB56" s="40"/>
      <c r="AC56" s="48"/>
      <c r="AD56" s="40"/>
      <c r="AE56" s="40"/>
      <c r="AF56" s="40"/>
      <c r="AG56" s="40"/>
      <c r="AH56" s="91"/>
      <c r="AI56" s="40"/>
      <c r="AJ56" s="48"/>
      <c r="AK56" s="156"/>
      <c r="AL56" s="61"/>
    </row>
    <row r="57" spans="1:38" s="11" customFormat="1" ht="13.5" customHeight="1">
      <c r="A57" s="230"/>
      <c r="B57" s="91"/>
      <c r="C57" s="40"/>
      <c r="D57" s="40"/>
      <c r="E57" s="21"/>
      <c r="F57" s="21"/>
      <c r="G57" s="40"/>
      <c r="H57" s="48"/>
      <c r="I57" s="40"/>
      <c r="J57" s="21"/>
      <c r="K57" s="40"/>
      <c r="L57" s="40"/>
      <c r="M57" s="40"/>
      <c r="N57" s="40"/>
      <c r="O57" s="48"/>
      <c r="P57" s="40"/>
      <c r="Q57" s="40"/>
      <c r="R57" s="40"/>
      <c r="S57" s="40"/>
      <c r="T57" s="22" t="s">
        <v>1263</v>
      </c>
      <c r="U57" s="40"/>
      <c r="V57" s="48"/>
      <c r="W57" s="21"/>
      <c r="X57" s="40"/>
      <c r="Y57" s="40"/>
      <c r="Z57" s="40"/>
      <c r="AA57" s="40"/>
      <c r="AB57" s="40"/>
      <c r="AC57" s="48"/>
      <c r="AD57" s="40"/>
      <c r="AE57" s="40"/>
      <c r="AF57" s="40"/>
      <c r="AG57" s="40"/>
      <c r="AH57" s="91"/>
      <c r="AI57" s="40"/>
      <c r="AJ57" s="48"/>
      <c r="AK57" s="156"/>
      <c r="AL57" s="61"/>
    </row>
    <row r="58" spans="1:38" s="11" customFormat="1" ht="13.5" customHeight="1">
      <c r="A58" s="230"/>
      <c r="B58" s="91"/>
      <c r="C58" s="40"/>
      <c r="D58" s="40"/>
      <c r="E58" s="21"/>
      <c r="F58" s="21"/>
      <c r="G58" s="40"/>
      <c r="H58" s="48"/>
      <c r="I58" s="40"/>
      <c r="J58" s="21"/>
      <c r="K58" s="40"/>
      <c r="L58" s="40"/>
      <c r="M58" s="40"/>
      <c r="N58" s="40"/>
      <c r="O58" s="48"/>
      <c r="P58" s="40"/>
      <c r="Q58" s="40"/>
      <c r="R58" s="40"/>
      <c r="S58" s="40"/>
      <c r="T58" s="22" t="s">
        <v>1264</v>
      </c>
      <c r="U58" s="40"/>
      <c r="V58" s="48"/>
      <c r="W58" s="21"/>
      <c r="X58" s="40"/>
      <c r="Y58" s="40"/>
      <c r="Z58" s="40"/>
      <c r="AA58" s="40"/>
      <c r="AB58" s="40"/>
      <c r="AC58" s="48"/>
      <c r="AD58" s="40"/>
      <c r="AE58" s="40"/>
      <c r="AF58" s="40"/>
      <c r="AG58" s="40"/>
      <c r="AH58" s="91"/>
      <c r="AI58" s="40"/>
      <c r="AJ58" s="48"/>
      <c r="AK58" s="156"/>
      <c r="AL58" s="61"/>
    </row>
    <row r="59" spans="1:38" s="11" customFormat="1" ht="13.5" customHeight="1">
      <c r="A59" s="230"/>
      <c r="B59" s="91"/>
      <c r="C59" s="40"/>
      <c r="D59" s="40"/>
      <c r="E59" s="21"/>
      <c r="F59" s="21"/>
      <c r="G59" s="40"/>
      <c r="H59" s="48"/>
      <c r="I59" s="40"/>
      <c r="J59" s="21"/>
      <c r="K59" s="40"/>
      <c r="L59" s="40"/>
      <c r="M59" s="40"/>
      <c r="N59" s="40"/>
      <c r="O59" s="48"/>
      <c r="P59" s="40"/>
      <c r="Q59" s="40"/>
      <c r="R59" s="40"/>
      <c r="S59" s="40"/>
      <c r="T59" s="22" t="s">
        <v>1265</v>
      </c>
      <c r="U59" s="40"/>
      <c r="V59" s="48"/>
      <c r="W59" s="21"/>
      <c r="X59" s="40"/>
      <c r="Y59" s="40"/>
      <c r="Z59" s="40"/>
      <c r="AA59" s="40"/>
      <c r="AB59" s="40"/>
      <c r="AC59" s="48"/>
      <c r="AD59" s="40"/>
      <c r="AE59" s="40"/>
      <c r="AF59" s="40"/>
      <c r="AG59" s="40"/>
      <c r="AH59" s="91"/>
      <c r="AI59" s="40"/>
      <c r="AJ59" s="48"/>
      <c r="AK59" s="156"/>
      <c r="AL59" s="61"/>
    </row>
    <row r="60" spans="1:38" s="11" customFormat="1" ht="13.5" customHeight="1">
      <c r="A60" s="230"/>
      <c r="B60" s="91"/>
      <c r="C60" s="40"/>
      <c r="D60" s="40"/>
      <c r="E60" s="21"/>
      <c r="F60" s="21"/>
      <c r="G60" s="40"/>
      <c r="H60" s="48"/>
      <c r="I60" s="40"/>
      <c r="J60" s="21"/>
      <c r="K60" s="40"/>
      <c r="L60" s="40"/>
      <c r="M60" s="40"/>
      <c r="N60" s="40"/>
      <c r="O60" s="48"/>
      <c r="P60" s="40"/>
      <c r="Q60" s="40"/>
      <c r="R60" s="40"/>
      <c r="S60" s="40"/>
      <c r="T60" s="22" t="s">
        <v>1260</v>
      </c>
      <c r="U60" s="40"/>
      <c r="V60" s="48"/>
      <c r="W60" s="21"/>
      <c r="X60" s="40"/>
      <c r="Y60" s="40"/>
      <c r="Z60" s="40"/>
      <c r="AA60" s="40"/>
      <c r="AB60" s="40"/>
      <c r="AC60" s="48"/>
      <c r="AD60" s="40"/>
      <c r="AE60" s="40"/>
      <c r="AF60" s="40"/>
      <c r="AG60" s="40"/>
      <c r="AH60" s="91"/>
      <c r="AI60" s="40"/>
      <c r="AJ60" s="48"/>
      <c r="AK60" s="156"/>
      <c r="AL60" s="61"/>
    </row>
    <row r="61" spans="1:38" s="11" customFormat="1" ht="13.5" customHeight="1">
      <c r="A61" s="230"/>
      <c r="B61" s="91"/>
      <c r="C61" s="40"/>
      <c r="D61" s="40"/>
      <c r="E61" s="21"/>
      <c r="F61" s="21"/>
      <c r="G61" s="40"/>
      <c r="H61" s="48"/>
      <c r="I61" s="40"/>
      <c r="J61" s="21"/>
      <c r="K61" s="40"/>
      <c r="L61" s="40"/>
      <c r="M61" s="40"/>
      <c r="N61" s="40"/>
      <c r="O61" s="48"/>
      <c r="P61" s="40"/>
      <c r="Q61" s="40"/>
      <c r="R61" s="40"/>
      <c r="S61" s="40"/>
      <c r="T61" s="22" t="s">
        <v>1261</v>
      </c>
      <c r="U61" s="40"/>
      <c r="V61" s="48"/>
      <c r="W61" s="21"/>
      <c r="X61" s="40"/>
      <c r="Y61" s="40"/>
      <c r="Z61" s="40"/>
      <c r="AA61" s="40"/>
      <c r="AB61" s="40"/>
      <c r="AC61" s="48"/>
      <c r="AD61" s="40"/>
      <c r="AE61" s="40"/>
      <c r="AF61" s="40"/>
      <c r="AG61" s="40"/>
      <c r="AH61" s="91"/>
      <c r="AI61" s="40"/>
      <c r="AJ61" s="48"/>
      <c r="AK61" s="156"/>
      <c r="AL61" s="61"/>
    </row>
    <row r="62" spans="1:38" s="11" customFormat="1" ht="13.5" customHeight="1">
      <c r="A62" s="230"/>
      <c r="B62" s="91"/>
      <c r="C62" s="40"/>
      <c r="D62" s="40"/>
      <c r="E62" s="21"/>
      <c r="F62" s="21"/>
      <c r="G62" s="40"/>
      <c r="H62" s="48"/>
      <c r="I62" s="40"/>
      <c r="J62" s="21"/>
      <c r="K62" s="40"/>
      <c r="L62" s="40"/>
      <c r="M62" s="40"/>
      <c r="N62" s="21"/>
      <c r="O62" s="48"/>
      <c r="P62" s="40"/>
      <c r="Q62" s="40"/>
      <c r="R62" s="40"/>
      <c r="S62" s="40"/>
      <c r="T62" s="22" t="s">
        <v>1262</v>
      </c>
      <c r="U62" s="40"/>
      <c r="V62" s="48"/>
      <c r="W62" s="21"/>
      <c r="X62" s="40"/>
      <c r="Y62" s="40"/>
      <c r="Z62" s="40"/>
      <c r="AA62" s="40"/>
      <c r="AB62" s="40"/>
      <c r="AC62" s="48"/>
      <c r="AD62" s="40"/>
      <c r="AE62" s="40"/>
      <c r="AF62" s="40"/>
      <c r="AG62" s="40"/>
      <c r="AH62" s="91"/>
      <c r="AI62" s="40"/>
      <c r="AJ62" s="48"/>
      <c r="AK62" s="156"/>
      <c r="AL62" s="61"/>
    </row>
    <row r="63" spans="1:38" s="11" customFormat="1" ht="16.5" customHeight="1">
      <c r="A63" s="230"/>
      <c r="B63" s="24"/>
      <c r="C63" s="56"/>
      <c r="D63" s="24"/>
      <c r="E63" s="56"/>
      <c r="F63" s="24"/>
      <c r="G63" s="233">
        <f>4450+52+600+135+700+36+76+26+500+500</f>
        <v>7075</v>
      </c>
      <c r="H63" s="234"/>
      <c r="I63" s="24"/>
      <c r="J63" s="56"/>
      <c r="K63" s="24"/>
      <c r="L63" s="56"/>
      <c r="M63" s="56"/>
      <c r="N63" s="233">
        <f>830+340+250+150+212+766+348+560+650+406+250+178+700+127+510+216+154+120</f>
        <v>6767</v>
      </c>
      <c r="O63" s="234"/>
      <c r="P63" s="56"/>
      <c r="Q63" s="56"/>
      <c r="R63" s="56"/>
      <c r="S63" s="56"/>
      <c r="T63" s="233">
        <f>579+1+210+154+595+406+524+598+100+240+100+240+350+100+240+240+650+268+586+200+309+710+655+758+110+330</f>
        <v>9253</v>
      </c>
      <c r="U63" s="234"/>
      <c r="V63" s="56"/>
      <c r="W63" s="24"/>
      <c r="X63" s="24"/>
      <c r="Y63" s="24"/>
      <c r="Z63" s="24"/>
      <c r="AA63" s="24"/>
      <c r="AB63" s="24"/>
      <c r="AC63" s="25"/>
      <c r="AD63" s="24"/>
      <c r="AE63" s="24"/>
      <c r="AF63" s="24"/>
      <c r="AG63" s="233">
        <f>160+12+110+200+140+200+5+402+402</f>
        <v>1631</v>
      </c>
      <c r="AH63" s="234"/>
      <c r="AI63" s="56"/>
      <c r="AJ63" s="25"/>
      <c r="AK63" s="24"/>
      <c r="AL63" s="64"/>
    </row>
    <row r="64" spans="1:38" s="11" customFormat="1" ht="2.25" customHeight="1">
      <c r="A64" s="26"/>
      <c r="B64" s="27"/>
      <c r="C64" s="27"/>
      <c r="D64" s="27"/>
      <c r="E64" s="28"/>
      <c r="F64" s="27"/>
      <c r="G64" s="27"/>
      <c r="H64" s="29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30"/>
    </row>
    <row r="65" spans="1:39" s="11" customFormat="1" ht="19.5" customHeight="1">
      <c r="A65" s="12" t="s">
        <v>0</v>
      </c>
      <c r="B65" s="16"/>
      <c r="C65" s="16"/>
      <c r="D65" s="16"/>
      <c r="E65" s="16"/>
      <c r="F65" s="16"/>
      <c r="G65" s="68">
        <v>580</v>
      </c>
      <c r="H65" s="25"/>
      <c r="I65" s="16">
        <v>640</v>
      </c>
      <c r="J65" s="68">
        <v>790</v>
      </c>
      <c r="K65" s="16">
        <v>880</v>
      </c>
      <c r="L65" s="16">
        <v>880</v>
      </c>
      <c r="M65" s="16">
        <v>880</v>
      </c>
      <c r="N65" s="16">
        <v>640</v>
      </c>
      <c r="O65" s="25"/>
      <c r="P65" s="16">
        <v>640</v>
      </c>
      <c r="Q65" s="68">
        <v>580</v>
      </c>
      <c r="R65" s="16">
        <v>760</v>
      </c>
      <c r="S65" s="51">
        <v>760</v>
      </c>
      <c r="T65" s="16">
        <v>760</v>
      </c>
      <c r="U65" s="16">
        <v>760</v>
      </c>
      <c r="V65" s="25"/>
      <c r="W65" s="16">
        <v>760</v>
      </c>
      <c r="X65" s="16">
        <v>640</v>
      </c>
      <c r="Y65" s="68">
        <v>680</v>
      </c>
      <c r="Z65" s="16">
        <v>640</v>
      </c>
      <c r="AA65" s="16">
        <v>640</v>
      </c>
      <c r="AB65" s="16">
        <v>640</v>
      </c>
      <c r="AC65" s="25"/>
      <c r="AD65" s="16">
        <v>640</v>
      </c>
      <c r="AE65" s="16">
        <v>640</v>
      </c>
      <c r="AF65" s="16">
        <v>640</v>
      </c>
      <c r="AG65" s="16">
        <v>640</v>
      </c>
      <c r="AH65" s="16">
        <v>640</v>
      </c>
      <c r="AI65" s="16">
        <v>640</v>
      </c>
      <c r="AJ65" s="25"/>
      <c r="AK65" s="16">
        <v>640</v>
      </c>
      <c r="AL65" s="16">
        <v>640</v>
      </c>
      <c r="AM65" s="17">
        <f>+SUM(B65:AL65)</f>
        <v>18670</v>
      </c>
    </row>
    <row r="66" spans="1:39" s="17" customFormat="1" ht="19.5" customHeight="1">
      <c r="A66" s="12" t="s">
        <v>18</v>
      </c>
      <c r="B66" s="122">
        <v>11</v>
      </c>
      <c r="C66" s="122">
        <v>11</v>
      </c>
      <c r="D66" s="122">
        <v>11</v>
      </c>
      <c r="E66" s="122">
        <v>11</v>
      </c>
      <c r="F66" s="122">
        <v>8</v>
      </c>
      <c r="G66" s="122">
        <v>8</v>
      </c>
      <c r="H66" s="25"/>
      <c r="I66" s="18">
        <v>11</v>
      </c>
      <c r="J66" s="18">
        <v>11</v>
      </c>
      <c r="K66" s="18">
        <v>11</v>
      </c>
      <c r="L66" s="18">
        <v>11</v>
      </c>
      <c r="M66" s="18">
        <v>8</v>
      </c>
      <c r="N66" s="18">
        <v>8</v>
      </c>
      <c r="O66" s="193"/>
      <c r="P66" s="18">
        <v>9.5</v>
      </c>
      <c r="Q66" s="18">
        <v>9.5</v>
      </c>
      <c r="R66" s="18">
        <v>9.5</v>
      </c>
      <c r="S66" s="18">
        <v>9.5</v>
      </c>
      <c r="T66" s="18">
        <v>9.5</v>
      </c>
      <c r="U66" s="18">
        <v>9.5</v>
      </c>
      <c r="V66" s="25"/>
      <c r="W66" s="18">
        <v>8</v>
      </c>
      <c r="X66" s="18">
        <v>8</v>
      </c>
      <c r="Y66" s="18">
        <v>8</v>
      </c>
      <c r="Z66" s="18">
        <v>8</v>
      </c>
      <c r="AA66" s="18">
        <v>8</v>
      </c>
      <c r="AB66" s="18">
        <v>8</v>
      </c>
      <c r="AC66" s="193"/>
      <c r="AD66" s="18">
        <v>8</v>
      </c>
      <c r="AE66" s="18">
        <v>8</v>
      </c>
      <c r="AF66" s="18">
        <v>8</v>
      </c>
      <c r="AG66" s="18">
        <v>8</v>
      </c>
      <c r="AH66" s="18">
        <v>8</v>
      </c>
      <c r="AI66" s="18">
        <v>8</v>
      </c>
      <c r="AJ66" s="25"/>
      <c r="AK66" s="18">
        <v>8</v>
      </c>
      <c r="AL66" s="18">
        <v>8</v>
      </c>
    </row>
    <row r="67" spans="1:39" s="17" customFormat="1" ht="17.25" customHeight="1">
      <c r="A67" s="2" t="s">
        <v>19</v>
      </c>
      <c r="B67" s="41"/>
      <c r="C67" s="41"/>
      <c r="D67" s="41"/>
      <c r="E67" s="41"/>
      <c r="F67" s="41"/>
      <c r="G67" s="41" t="s">
        <v>70</v>
      </c>
      <c r="H67" s="25"/>
      <c r="I67" s="41"/>
      <c r="J67" s="41" t="s">
        <v>70</v>
      </c>
      <c r="K67" s="41"/>
      <c r="L67" s="41"/>
      <c r="M67" s="41"/>
      <c r="N67" s="41"/>
      <c r="O67" s="25"/>
      <c r="P67" s="41"/>
      <c r="Q67" s="41" t="s">
        <v>70</v>
      </c>
      <c r="R67" s="41"/>
      <c r="S67" s="41"/>
      <c r="T67" s="41"/>
      <c r="U67" s="41"/>
      <c r="V67" s="25"/>
      <c r="W67" s="41"/>
      <c r="X67" s="41"/>
      <c r="Y67" s="41" t="s">
        <v>70</v>
      </c>
      <c r="Z67" s="41"/>
      <c r="AA67" s="41"/>
      <c r="AB67" s="41"/>
      <c r="AC67" s="25"/>
      <c r="AD67" s="41"/>
      <c r="AE67" s="41"/>
      <c r="AF67" s="41"/>
      <c r="AG67" s="41"/>
      <c r="AH67" s="41"/>
      <c r="AI67" s="41"/>
      <c r="AJ67" s="25"/>
      <c r="AK67" s="41"/>
      <c r="AL67" s="41"/>
    </row>
    <row r="68" spans="1:39" s="17" customFormat="1" ht="17.25" customHeight="1">
      <c r="A68" s="2" t="s">
        <v>20</v>
      </c>
      <c r="B68" s="20"/>
      <c r="C68" s="20"/>
      <c r="D68" s="20"/>
      <c r="E68" s="20"/>
      <c r="F68" s="20"/>
      <c r="G68" s="20">
        <v>0.9</v>
      </c>
      <c r="H68" s="25"/>
      <c r="I68" s="20"/>
      <c r="J68" s="20">
        <v>0.9</v>
      </c>
      <c r="K68" s="20"/>
      <c r="L68" s="20"/>
      <c r="M68" s="20"/>
      <c r="N68" s="20"/>
      <c r="O68" s="25"/>
      <c r="P68" s="20"/>
      <c r="Q68" s="20">
        <v>0.9</v>
      </c>
      <c r="R68" s="20"/>
      <c r="S68" s="20"/>
      <c r="T68" s="20"/>
      <c r="U68" s="20"/>
      <c r="V68" s="25"/>
      <c r="W68" s="20"/>
      <c r="X68" s="20"/>
      <c r="Y68" s="20">
        <v>0.9</v>
      </c>
      <c r="Z68" s="20"/>
      <c r="AA68" s="20"/>
      <c r="AB68" s="20"/>
      <c r="AC68" s="25"/>
      <c r="AD68" s="20"/>
      <c r="AE68" s="20"/>
      <c r="AF68" s="20"/>
      <c r="AG68" s="20"/>
      <c r="AH68" s="20"/>
      <c r="AI68" s="20"/>
      <c r="AJ68" s="25"/>
      <c r="AK68" s="20"/>
      <c r="AL68" s="60"/>
    </row>
    <row r="69" spans="1:39" s="11" customFormat="1" ht="14.25" customHeight="1">
      <c r="A69" s="229" t="s">
        <v>41</v>
      </c>
      <c r="B69" s="46"/>
      <c r="C69" s="49"/>
      <c r="D69" s="40"/>
      <c r="F69" s="47"/>
      <c r="G69" s="49" t="s">
        <v>107</v>
      </c>
      <c r="H69" s="48"/>
      <c r="I69" s="40"/>
      <c r="J69" s="47"/>
      <c r="K69" s="50"/>
      <c r="M69" s="40"/>
      <c r="O69" s="48"/>
      <c r="P69" s="40"/>
      <c r="Q69" s="50" t="s">
        <v>400</v>
      </c>
      <c r="R69" s="40"/>
      <c r="T69" s="50"/>
      <c r="V69" s="48"/>
      <c r="W69" s="40"/>
      <c r="X69" s="40"/>
      <c r="Y69" s="50" t="s">
        <v>409</v>
      </c>
      <c r="AA69" s="40"/>
      <c r="AB69" s="50"/>
      <c r="AC69" s="48"/>
      <c r="AE69" s="40"/>
      <c r="AF69" s="40"/>
      <c r="AG69" s="40"/>
      <c r="AH69" s="50" t="s">
        <v>409</v>
      </c>
      <c r="AI69" s="47"/>
      <c r="AJ69" s="48"/>
      <c r="AK69" s="62"/>
      <c r="AL69" s="61"/>
    </row>
    <row r="70" spans="1:39" s="11" customFormat="1" ht="14.25" customHeight="1">
      <c r="A70" s="230"/>
      <c r="B70" s="22"/>
      <c r="C70" s="22"/>
      <c r="D70" s="40"/>
      <c r="E70" s="40"/>
      <c r="F70" s="21"/>
      <c r="G70" s="22" t="s">
        <v>1522</v>
      </c>
      <c r="H70" s="48"/>
      <c r="I70" s="40"/>
      <c r="J70" s="21"/>
      <c r="K70" s="22"/>
      <c r="L70" s="40"/>
      <c r="M70" s="40"/>
      <c r="N70" s="40"/>
      <c r="O70" s="48"/>
      <c r="P70" s="40"/>
      <c r="Q70" s="22" t="s">
        <v>411</v>
      </c>
      <c r="R70" s="40"/>
      <c r="S70" s="40"/>
      <c r="T70" s="40"/>
      <c r="U70" s="40"/>
      <c r="V70" s="48"/>
      <c r="W70" s="40"/>
      <c r="X70" s="40"/>
      <c r="Y70" s="22" t="s">
        <v>712</v>
      </c>
      <c r="Z70" s="40"/>
      <c r="AA70" s="40"/>
      <c r="AB70" s="40"/>
      <c r="AC70" s="48"/>
      <c r="AD70" s="40"/>
      <c r="AE70" s="40"/>
      <c r="AF70" s="40"/>
      <c r="AG70" s="40"/>
      <c r="AH70" s="100" t="s">
        <v>1164</v>
      </c>
      <c r="AI70" s="21"/>
      <c r="AJ70" s="48"/>
      <c r="AK70" s="58"/>
      <c r="AL70" s="61"/>
    </row>
    <row r="71" spans="1:39" s="11" customFormat="1" ht="14.25" customHeight="1">
      <c r="A71" s="230"/>
      <c r="B71" s="22"/>
      <c r="C71" s="22"/>
      <c r="D71" s="40"/>
      <c r="E71" s="40"/>
      <c r="F71" s="21"/>
      <c r="G71" s="203" t="s">
        <v>400</v>
      </c>
      <c r="H71" s="48"/>
      <c r="I71" s="40"/>
      <c r="J71" s="21"/>
      <c r="K71" s="22"/>
      <c r="L71" s="40"/>
      <c r="M71" s="40"/>
      <c r="N71" s="40"/>
      <c r="O71" s="48"/>
      <c r="P71" s="40"/>
      <c r="Q71" s="22" t="s">
        <v>438</v>
      </c>
      <c r="R71" s="40"/>
      <c r="S71" s="40"/>
      <c r="T71" s="40"/>
      <c r="U71" s="40"/>
      <c r="V71" s="48"/>
      <c r="W71" s="40"/>
      <c r="X71" s="40"/>
      <c r="Y71" s="22" t="s">
        <v>715</v>
      </c>
      <c r="Z71" s="40"/>
      <c r="AA71" s="40"/>
      <c r="AB71" s="40"/>
      <c r="AC71" s="48"/>
      <c r="AD71" s="40"/>
      <c r="AE71" s="40"/>
      <c r="AF71" s="40"/>
      <c r="AG71" s="40"/>
      <c r="AH71" s="100" t="s">
        <v>1165</v>
      </c>
      <c r="AI71" s="21"/>
      <c r="AJ71" s="48"/>
      <c r="AK71" s="58"/>
      <c r="AL71" s="61"/>
    </row>
    <row r="72" spans="1:39" s="11" customFormat="1" ht="14.25" customHeight="1">
      <c r="A72" s="230"/>
      <c r="B72" s="22"/>
      <c r="C72" s="55"/>
      <c r="D72" s="40"/>
      <c r="E72" s="40"/>
      <c r="F72" s="21"/>
      <c r="G72" s="171" t="s">
        <v>1491</v>
      </c>
      <c r="H72" s="48"/>
      <c r="I72" s="40"/>
      <c r="J72" s="21"/>
      <c r="K72" s="22"/>
      <c r="L72" s="40"/>
      <c r="M72" s="40"/>
      <c r="N72" s="40"/>
      <c r="O72" s="48"/>
      <c r="P72" s="40"/>
      <c r="Q72" s="22" t="s">
        <v>1196</v>
      </c>
      <c r="R72" s="40"/>
      <c r="S72" s="40"/>
      <c r="T72" s="40"/>
      <c r="U72" s="40"/>
      <c r="V72" s="48"/>
      <c r="W72" s="40"/>
      <c r="X72" s="40"/>
      <c r="Y72" s="107" t="s">
        <v>1156</v>
      </c>
      <c r="Z72" s="40"/>
      <c r="AA72" s="40"/>
      <c r="AB72" s="40"/>
      <c r="AC72" s="48"/>
      <c r="AD72" s="40"/>
      <c r="AE72" s="40"/>
      <c r="AF72" s="40"/>
      <c r="AG72" s="40"/>
      <c r="AH72" s="100" t="s">
        <v>1166</v>
      </c>
      <c r="AI72" s="21"/>
      <c r="AJ72" s="48"/>
      <c r="AK72" s="58"/>
      <c r="AL72" s="61"/>
    </row>
    <row r="73" spans="1:39" s="11" customFormat="1" ht="14.25" customHeight="1">
      <c r="A73" s="230"/>
      <c r="B73" s="22"/>
      <c r="C73" s="22"/>
      <c r="D73" s="40"/>
      <c r="E73" s="40"/>
      <c r="F73" s="21"/>
      <c r="G73" s="195" t="s">
        <v>1572</v>
      </c>
      <c r="H73" s="48"/>
      <c r="I73" s="40"/>
      <c r="J73" s="21"/>
      <c r="K73" s="53"/>
      <c r="L73" s="40"/>
      <c r="M73" s="40"/>
      <c r="N73" s="40"/>
      <c r="O73" s="48"/>
      <c r="P73" s="40"/>
      <c r="Q73" s="53" t="s">
        <v>1210</v>
      </c>
      <c r="R73" s="40"/>
      <c r="S73" s="40"/>
      <c r="T73" s="40"/>
      <c r="U73" s="40"/>
      <c r="V73" s="48"/>
      <c r="W73" s="40"/>
      <c r="X73" s="40"/>
      <c r="Y73" s="53" t="s">
        <v>1157</v>
      </c>
      <c r="Z73" s="40"/>
      <c r="AA73" s="40"/>
      <c r="AB73" s="40"/>
      <c r="AC73" s="48"/>
      <c r="AD73" s="40"/>
      <c r="AE73" s="40"/>
      <c r="AF73" s="40"/>
      <c r="AG73" s="40"/>
      <c r="AH73" s="100" t="s">
        <v>1167</v>
      </c>
      <c r="AI73" s="21"/>
      <c r="AJ73" s="48"/>
      <c r="AK73" s="58"/>
      <c r="AL73" s="61"/>
    </row>
    <row r="74" spans="1:39" s="11" customFormat="1" ht="14.25" customHeight="1">
      <c r="A74" s="230"/>
      <c r="B74" s="22"/>
      <c r="C74" s="22"/>
      <c r="D74" s="40"/>
      <c r="E74" s="40"/>
      <c r="F74" s="203"/>
      <c r="G74" s="195" t="s">
        <v>1365</v>
      </c>
      <c r="H74" s="48"/>
      <c r="I74" s="40"/>
      <c r="J74" s="21"/>
      <c r="L74" s="40"/>
      <c r="M74" s="40"/>
      <c r="N74" s="40"/>
      <c r="O74" s="48"/>
      <c r="P74" s="40"/>
      <c r="Q74" s="22" t="s">
        <v>1035</v>
      </c>
      <c r="R74" s="40"/>
      <c r="S74" s="40"/>
      <c r="T74" s="40"/>
      <c r="U74" s="40"/>
      <c r="V74" s="48"/>
      <c r="W74" s="40"/>
      <c r="X74" s="40"/>
      <c r="Y74" s="53" t="s">
        <v>1158</v>
      </c>
      <c r="Z74" s="40"/>
      <c r="AA74" s="40"/>
      <c r="AB74" s="40"/>
      <c r="AC74" s="48"/>
      <c r="AD74" s="40"/>
      <c r="AE74" s="40"/>
      <c r="AF74" s="40"/>
      <c r="AG74" s="40"/>
      <c r="AH74" s="100" t="s">
        <v>1168</v>
      </c>
      <c r="AI74" s="21"/>
      <c r="AJ74" s="48"/>
      <c r="AK74" s="58"/>
      <c r="AL74" s="61"/>
    </row>
    <row r="75" spans="1:39" s="11" customFormat="1" ht="14.25" customHeight="1">
      <c r="A75" s="230"/>
      <c r="B75" s="22"/>
      <c r="C75" s="22"/>
      <c r="D75" s="40"/>
      <c r="E75" s="40"/>
      <c r="F75" s="21"/>
      <c r="G75" s="50" t="s">
        <v>409</v>
      </c>
      <c r="H75" s="48"/>
      <c r="I75" s="40"/>
      <c r="J75" s="21"/>
      <c r="K75" s="53"/>
      <c r="L75" s="40"/>
      <c r="M75" s="40"/>
      <c r="N75" s="40"/>
      <c r="O75" s="48"/>
      <c r="P75" s="40"/>
      <c r="Q75" s="53" t="s">
        <v>408</v>
      </c>
      <c r="R75" s="40"/>
      <c r="S75" s="40"/>
      <c r="T75" s="40"/>
      <c r="U75" s="40"/>
      <c r="V75" s="48"/>
      <c r="W75" s="40"/>
      <c r="X75" s="40"/>
      <c r="Y75" s="53" t="s">
        <v>1159</v>
      </c>
      <c r="Z75" s="40"/>
      <c r="AA75" s="40"/>
      <c r="AB75" s="40"/>
      <c r="AC75" s="48"/>
      <c r="AD75" s="40"/>
      <c r="AE75" s="40"/>
      <c r="AF75" s="40"/>
      <c r="AG75" s="40"/>
      <c r="AI75" s="21"/>
      <c r="AJ75" s="231">
        <f>+SUM(B84:AL84)</f>
        <v>21063</v>
      </c>
      <c r="AK75" s="232"/>
      <c r="AL75" s="23" t="s">
        <v>1</v>
      </c>
    </row>
    <row r="76" spans="1:39" s="11" customFormat="1" ht="14.25" customHeight="1">
      <c r="A76" s="230"/>
      <c r="B76" s="22"/>
      <c r="C76" s="22"/>
      <c r="D76" s="40"/>
      <c r="E76" s="40"/>
      <c r="F76" s="21"/>
      <c r="G76" s="22" t="s">
        <v>714</v>
      </c>
      <c r="H76" s="48"/>
      <c r="I76" s="40"/>
      <c r="J76" s="21"/>
      <c r="K76" s="22"/>
      <c r="L76" s="40"/>
      <c r="M76" s="40"/>
      <c r="N76" s="40"/>
      <c r="O76" s="48"/>
      <c r="P76" s="40"/>
      <c r="Q76" s="22" t="s">
        <v>1036</v>
      </c>
      <c r="R76" s="40"/>
      <c r="S76" s="40"/>
      <c r="T76" s="40"/>
      <c r="U76" s="40"/>
      <c r="V76" s="48"/>
      <c r="W76" s="40"/>
      <c r="X76" s="40"/>
      <c r="Y76" s="53" t="s">
        <v>1160</v>
      </c>
      <c r="Z76" s="40"/>
      <c r="AA76" s="40"/>
      <c r="AB76" s="40"/>
      <c r="AC76" s="48"/>
      <c r="AD76" s="40"/>
      <c r="AE76" s="40"/>
      <c r="AF76" s="40"/>
      <c r="AG76" s="40"/>
      <c r="AH76" s="100" t="s">
        <v>1185</v>
      </c>
      <c r="AI76" s="21"/>
      <c r="AJ76" s="48"/>
      <c r="AK76" s="58"/>
      <c r="AL76" s="61"/>
    </row>
    <row r="77" spans="1:39" s="11" customFormat="1" ht="14.25" customHeight="1">
      <c r="A77" s="230"/>
      <c r="B77" s="91" t="s">
        <v>909</v>
      </c>
      <c r="C77" s="22"/>
      <c r="D77" s="40"/>
      <c r="E77" s="40"/>
      <c r="F77" s="21"/>
      <c r="G77" s="50" t="s">
        <v>400</v>
      </c>
      <c r="H77" s="48"/>
      <c r="I77" s="40"/>
      <c r="J77" s="21"/>
      <c r="K77" s="53"/>
      <c r="M77" s="40"/>
      <c r="N77" s="40"/>
      <c r="O77" s="48"/>
      <c r="P77" s="40"/>
      <c r="Q77" s="40"/>
      <c r="R77" s="40"/>
      <c r="S77" s="40"/>
      <c r="T77" s="40"/>
      <c r="U77" s="40"/>
      <c r="V77" s="48"/>
      <c r="W77" s="40"/>
      <c r="X77" s="40"/>
      <c r="Y77" s="53" t="s">
        <v>1161</v>
      </c>
      <c r="Z77" s="40"/>
      <c r="AA77" s="40"/>
      <c r="AB77" s="40"/>
      <c r="AC77" s="48"/>
      <c r="AD77" s="40"/>
      <c r="AE77" s="40"/>
      <c r="AF77" s="40"/>
      <c r="AG77" s="40"/>
      <c r="AH77" s="100" t="s">
        <v>1186</v>
      </c>
      <c r="AI77" s="21"/>
      <c r="AJ77" s="48"/>
      <c r="AK77" s="40"/>
      <c r="AL77" s="61"/>
    </row>
    <row r="78" spans="1:39" s="11" customFormat="1" ht="14.25" customHeight="1">
      <c r="A78" s="230"/>
      <c r="B78" s="91"/>
      <c r="C78" s="22"/>
      <c r="D78" s="40"/>
      <c r="E78" s="40"/>
      <c r="F78" s="21"/>
      <c r="G78" s="226" t="s">
        <v>1208</v>
      </c>
      <c r="H78" s="48"/>
      <c r="I78" s="40"/>
      <c r="J78" s="21"/>
      <c r="K78" s="53"/>
      <c r="M78" s="40"/>
      <c r="N78" s="40"/>
      <c r="O78" s="48"/>
      <c r="P78" s="40"/>
      <c r="Q78" s="40"/>
      <c r="R78" s="40"/>
      <c r="S78" s="40"/>
      <c r="T78" s="40"/>
      <c r="U78" s="40"/>
      <c r="V78" s="48"/>
      <c r="W78" s="40"/>
      <c r="X78" s="40"/>
      <c r="Y78" s="53" t="s">
        <v>1162</v>
      </c>
      <c r="Z78" s="40"/>
      <c r="AA78" s="40"/>
      <c r="AB78" s="40"/>
      <c r="AC78" s="48"/>
      <c r="AD78" s="40"/>
      <c r="AE78" s="40"/>
      <c r="AF78" s="40"/>
      <c r="AG78" s="40"/>
      <c r="AH78" s="40"/>
      <c r="AI78" s="21"/>
      <c r="AJ78" s="48"/>
      <c r="AK78" s="40"/>
      <c r="AL78" s="61"/>
    </row>
    <row r="79" spans="1:39" s="11" customFormat="1" ht="14.25" customHeight="1">
      <c r="A79" s="230"/>
      <c r="B79" s="91"/>
      <c r="C79" s="22"/>
      <c r="D79" s="40"/>
      <c r="E79" s="40"/>
      <c r="F79" s="21"/>
      <c r="G79" s="226" t="s">
        <v>1209</v>
      </c>
      <c r="H79" s="48"/>
      <c r="I79" s="40"/>
      <c r="J79" s="21"/>
      <c r="K79" s="53"/>
      <c r="M79" s="40"/>
      <c r="N79" s="40"/>
      <c r="O79" s="48"/>
      <c r="P79" s="40"/>
      <c r="Q79" s="40"/>
      <c r="R79" s="40"/>
      <c r="S79" s="40"/>
      <c r="T79" s="40"/>
      <c r="U79" s="40"/>
      <c r="V79" s="48"/>
      <c r="W79" s="40"/>
      <c r="X79" s="40"/>
      <c r="Y79" s="53" t="s">
        <v>1163</v>
      </c>
      <c r="Z79" s="40"/>
      <c r="AA79" s="40"/>
      <c r="AB79" s="40"/>
      <c r="AC79" s="48"/>
      <c r="AD79" s="40"/>
      <c r="AE79" s="40"/>
      <c r="AF79" s="40"/>
      <c r="AG79" s="40"/>
      <c r="AH79" s="40"/>
      <c r="AI79" s="21"/>
      <c r="AJ79" s="48"/>
      <c r="AK79" s="40"/>
      <c r="AL79" s="61"/>
    </row>
    <row r="80" spans="1:39" s="11" customFormat="1" ht="14.25" customHeight="1">
      <c r="A80" s="230"/>
      <c r="B80" s="91"/>
      <c r="C80" s="22"/>
      <c r="D80" s="40"/>
      <c r="E80" s="40"/>
      <c r="F80" s="21"/>
      <c r="G80" s="40"/>
      <c r="H80" s="48"/>
      <c r="I80" s="40"/>
      <c r="J80" s="21"/>
      <c r="K80" s="53"/>
      <c r="M80" s="40"/>
      <c r="N80" s="40"/>
      <c r="O80" s="48"/>
      <c r="P80" s="40"/>
      <c r="Q80" s="40"/>
      <c r="R80" s="40"/>
      <c r="S80" s="40"/>
      <c r="T80" s="40"/>
      <c r="U80" s="40"/>
      <c r="V80" s="48"/>
      <c r="W80" s="40"/>
      <c r="X80" s="40"/>
      <c r="Y80" s="53"/>
      <c r="Z80" s="40"/>
      <c r="AA80" s="40"/>
      <c r="AB80" s="40"/>
      <c r="AC80" s="48"/>
      <c r="AD80" s="40"/>
      <c r="AE80" s="40"/>
      <c r="AF80" s="40"/>
      <c r="AG80" s="40"/>
      <c r="AH80" s="40"/>
      <c r="AI80" s="21"/>
      <c r="AJ80" s="48"/>
      <c r="AK80" s="40"/>
      <c r="AL80" s="61"/>
    </row>
    <row r="81" spans="1:38" s="11" customFormat="1" ht="14.25" customHeight="1">
      <c r="A81" s="230"/>
      <c r="B81" s="91"/>
      <c r="C81" s="22"/>
      <c r="D81" s="40"/>
      <c r="E81" s="40"/>
      <c r="F81" s="21"/>
      <c r="G81" s="40"/>
      <c r="H81" s="48"/>
      <c r="I81" s="40"/>
      <c r="J81" s="21"/>
      <c r="K81" s="53"/>
      <c r="M81" s="40"/>
      <c r="N81" s="40"/>
      <c r="O81" s="48"/>
      <c r="P81" s="40"/>
      <c r="Q81" s="40"/>
      <c r="R81" s="40"/>
      <c r="S81" s="40"/>
      <c r="T81" s="40"/>
      <c r="U81" s="53"/>
      <c r="V81" s="48"/>
      <c r="W81" s="40"/>
      <c r="X81" s="40"/>
      <c r="Y81" s="40"/>
      <c r="Z81" s="40"/>
      <c r="AA81" s="40"/>
      <c r="AB81" s="40"/>
      <c r="AC81" s="48"/>
      <c r="AD81" s="40"/>
      <c r="AE81" s="40"/>
      <c r="AF81" s="40"/>
      <c r="AG81" s="40"/>
      <c r="AH81" s="40"/>
      <c r="AI81" s="21"/>
      <c r="AJ81" s="48"/>
      <c r="AK81" s="40"/>
      <c r="AL81" s="61"/>
    </row>
    <row r="82" spans="1:38" s="11" customFormat="1" ht="14.25" customHeight="1">
      <c r="A82" s="230"/>
      <c r="B82" s="91"/>
      <c r="C82" s="22"/>
      <c r="D82" s="40"/>
      <c r="E82" s="40"/>
      <c r="F82" s="21"/>
      <c r="G82" s="40"/>
      <c r="H82" s="48"/>
      <c r="I82" s="40"/>
      <c r="J82" s="21"/>
      <c r="K82" s="53"/>
      <c r="M82" s="40"/>
      <c r="N82" s="40"/>
      <c r="O82" s="48"/>
      <c r="P82" s="40"/>
      <c r="Q82" s="40"/>
      <c r="R82" s="40"/>
      <c r="S82" s="40"/>
      <c r="T82" s="40"/>
      <c r="U82"/>
      <c r="V82" s="48"/>
      <c r="X82" s="40"/>
      <c r="Y82" s="40"/>
      <c r="Z82" s="40"/>
      <c r="AA82" s="40"/>
      <c r="AB82" s="40"/>
      <c r="AC82" s="48"/>
      <c r="AD82" s="40"/>
      <c r="AE82" s="40"/>
      <c r="AF82" s="40"/>
      <c r="AG82" s="40"/>
      <c r="AH82" s="40"/>
      <c r="AI82" s="21"/>
      <c r="AJ82" s="48"/>
      <c r="AK82" s="40"/>
      <c r="AL82" s="61"/>
    </row>
    <row r="83" spans="1:38" s="11" customFormat="1" ht="14.25" customHeight="1">
      <c r="A83" s="230"/>
      <c r="B83" s="91"/>
      <c r="C83" s="22"/>
      <c r="D83" s="40"/>
      <c r="E83" s="21"/>
      <c r="F83" s="21"/>
      <c r="G83" s="40"/>
      <c r="H83" s="48"/>
      <c r="I83" s="40"/>
      <c r="J83" s="21"/>
      <c r="K83" s="53"/>
      <c r="L83" s="40"/>
      <c r="M83" s="53"/>
      <c r="N83" s="21"/>
      <c r="O83" s="48"/>
      <c r="P83" s="40"/>
      <c r="Q83" s="40"/>
      <c r="R83" s="40"/>
      <c r="S83" s="40"/>
      <c r="T83" s="40"/>
      <c r="U83" s="40"/>
      <c r="V83" s="48"/>
      <c r="W83" s="21"/>
      <c r="X83" s="40"/>
      <c r="Y83" s="40"/>
      <c r="Z83" s="40"/>
      <c r="AA83" s="40"/>
      <c r="AB83" s="40"/>
      <c r="AC83" s="48"/>
      <c r="AD83" s="40"/>
      <c r="AE83" s="40"/>
      <c r="AF83" s="40"/>
      <c r="AG83" s="40"/>
      <c r="AH83" s="97" t="s">
        <v>1343</v>
      </c>
      <c r="AI83" s="21"/>
      <c r="AJ83" s="48"/>
      <c r="AK83" s="156"/>
      <c r="AL83" s="61"/>
    </row>
    <row r="84" spans="1:38" s="11" customFormat="1" ht="17.25" customHeight="1">
      <c r="A84" s="235"/>
      <c r="B84" s="24"/>
      <c r="C84" s="56"/>
      <c r="D84" s="56"/>
      <c r="E84" s="24"/>
      <c r="F84" s="24"/>
      <c r="G84" s="233">
        <f>1598+2700+1174+475+300</f>
        <v>6247</v>
      </c>
      <c r="H84" s="234"/>
      <c r="I84" s="24"/>
      <c r="J84" s="56"/>
      <c r="K84" s="24"/>
      <c r="L84" s="56"/>
      <c r="M84" s="24"/>
      <c r="N84" s="56"/>
      <c r="O84" s="25"/>
      <c r="P84" s="56"/>
      <c r="Q84" s="233">
        <f>330+150+354+1475+100+2000+442</f>
        <v>4851</v>
      </c>
      <c r="R84" s="234"/>
      <c r="S84" s="24"/>
      <c r="T84" s="24"/>
      <c r="U84" s="24"/>
      <c r="V84" s="24"/>
      <c r="W84" s="24"/>
      <c r="X84" s="24"/>
      <c r="Y84" s="233">
        <f>311+600+101+259+531+460+1523+236+691+263</f>
        <v>4975</v>
      </c>
      <c r="Z84" s="234"/>
      <c r="AA84" s="24"/>
      <c r="AB84" s="24"/>
      <c r="AC84" s="25"/>
      <c r="AD84" s="24"/>
      <c r="AE84" s="24"/>
      <c r="AF84" s="24"/>
      <c r="AG84" s="24"/>
      <c r="AH84" s="242">
        <f>312+598+2400+800+372+192+316</f>
        <v>4990</v>
      </c>
      <c r="AI84" s="243"/>
      <c r="AJ84" s="24"/>
      <c r="AK84" s="24"/>
      <c r="AL84" s="64"/>
    </row>
    <row r="85" spans="1:38" s="11" customFormat="1" ht="2.25" customHeight="1">
      <c r="A85" s="26"/>
      <c r="B85" s="27"/>
      <c r="C85" s="27"/>
      <c r="D85" s="27"/>
      <c r="E85" s="28"/>
      <c r="F85" s="27"/>
      <c r="G85" s="27"/>
      <c r="H85" s="27"/>
      <c r="I85" s="27"/>
      <c r="J85" s="44"/>
      <c r="K85" s="44"/>
      <c r="L85" s="44"/>
      <c r="M85" s="44"/>
      <c r="N85" s="44"/>
      <c r="O85" s="27"/>
      <c r="P85" s="27"/>
      <c r="Q85" s="44"/>
      <c r="R85" s="44"/>
      <c r="S85" s="44"/>
      <c r="T85" s="44"/>
      <c r="U85" s="44"/>
      <c r="V85" s="27"/>
      <c r="W85" s="27"/>
      <c r="X85" s="44"/>
      <c r="Y85" s="44"/>
      <c r="Z85" s="44"/>
      <c r="AA85" s="44"/>
      <c r="AB85" s="44"/>
      <c r="AC85" s="27"/>
      <c r="AD85" s="27"/>
      <c r="AE85" s="44"/>
      <c r="AF85" s="44"/>
      <c r="AG85" s="44"/>
      <c r="AH85" s="44"/>
      <c r="AI85" s="44"/>
      <c r="AJ85" s="30"/>
      <c r="AK85" s="44"/>
      <c r="AL85" s="30"/>
    </row>
    <row r="86" spans="1:38" s="57" customFormat="1" ht="32.25" customHeight="1">
      <c r="A86" s="236" t="s">
        <v>2</v>
      </c>
      <c r="B86" s="38" t="s">
        <v>3</v>
      </c>
      <c r="C86" s="32"/>
      <c r="D86" s="31"/>
      <c r="E86" s="31"/>
      <c r="F86" s="32"/>
      <c r="G86" s="32"/>
      <c r="H86" s="32"/>
      <c r="I86" s="238" t="s">
        <v>4</v>
      </c>
      <c r="J86" s="32"/>
      <c r="K86" s="32"/>
      <c r="L86" s="32"/>
      <c r="M86" s="32"/>
      <c r="N86" s="32"/>
      <c r="O86" s="32"/>
      <c r="P86" s="238" t="s">
        <v>5</v>
      </c>
      <c r="Q86" s="32"/>
      <c r="R86" s="32"/>
      <c r="S86" s="32"/>
      <c r="T86" s="32"/>
      <c r="U86" s="32"/>
      <c r="V86" s="32"/>
      <c r="W86" s="238" t="s">
        <v>6</v>
      </c>
      <c r="X86" s="32"/>
      <c r="Y86" s="32"/>
      <c r="Z86" s="32"/>
      <c r="AA86" s="32"/>
      <c r="AB86" s="32"/>
      <c r="AC86" s="32"/>
      <c r="AD86" s="238" t="s">
        <v>46</v>
      </c>
      <c r="AE86" s="32"/>
      <c r="AF86" s="32"/>
      <c r="AG86" s="32"/>
      <c r="AH86" s="32"/>
      <c r="AI86" s="32"/>
      <c r="AJ86" s="32"/>
      <c r="AK86" s="32"/>
      <c r="AL86" s="33"/>
    </row>
    <row r="87" spans="1:38" s="57" customFormat="1" ht="32.25" customHeight="1" thickBot="1">
      <c r="A87" s="237"/>
      <c r="B87" s="39" t="s">
        <v>7</v>
      </c>
      <c r="C87" s="35"/>
      <c r="D87" s="34"/>
      <c r="E87" s="34"/>
      <c r="F87" s="35"/>
      <c r="G87" s="35"/>
      <c r="H87" s="35"/>
      <c r="I87" s="239"/>
      <c r="J87" s="35"/>
      <c r="K87" s="35"/>
      <c r="L87" s="35"/>
      <c r="M87" s="35"/>
      <c r="N87" s="35"/>
      <c r="O87" s="35"/>
      <c r="P87" s="239"/>
      <c r="Q87" s="35"/>
      <c r="R87" s="35"/>
      <c r="S87" s="35"/>
      <c r="T87" s="35"/>
      <c r="U87" s="35"/>
      <c r="V87" s="35"/>
      <c r="W87" s="239"/>
      <c r="X87" s="35"/>
      <c r="Y87" s="35"/>
      <c r="Z87" s="35"/>
      <c r="AA87" s="35"/>
      <c r="AB87" s="35"/>
      <c r="AC87" s="35"/>
      <c r="AD87" s="239"/>
      <c r="AE87" s="35"/>
      <c r="AF87" s="35"/>
      <c r="AG87" s="35"/>
      <c r="AH87" s="35"/>
      <c r="AI87" s="35"/>
      <c r="AJ87" s="35"/>
      <c r="AK87" s="35"/>
      <c r="AL87" s="36"/>
    </row>
  </sheetData>
  <mergeCells count="24">
    <mergeCell ref="A36:A63"/>
    <mergeCell ref="AJ44:AK44"/>
    <mergeCell ref="T63:U63"/>
    <mergeCell ref="AG63:AH63"/>
    <mergeCell ref="N63:O63"/>
    <mergeCell ref="G63:H63"/>
    <mergeCell ref="A9:A29"/>
    <mergeCell ref="AJ18:AK18"/>
    <mergeCell ref="AK29:AL29"/>
    <mergeCell ref="G29:H29"/>
    <mergeCell ref="M29:N29"/>
    <mergeCell ref="U29:V29"/>
    <mergeCell ref="AE29:AF29"/>
    <mergeCell ref="A86:A87"/>
    <mergeCell ref="I86:I87"/>
    <mergeCell ref="P86:P87"/>
    <mergeCell ref="W86:W87"/>
    <mergeCell ref="AD86:AD87"/>
    <mergeCell ref="A69:A84"/>
    <mergeCell ref="AJ75:AK75"/>
    <mergeCell ref="G84:H84"/>
    <mergeCell ref="Q84:R84"/>
    <mergeCell ref="Y84:Z84"/>
    <mergeCell ref="AH84:AI84"/>
  </mergeCells>
  <phoneticPr fontId="48" type="noConversion"/>
  <conditionalFormatting sqref="G71">
    <cfRule type="duplicateValues" dxfId="12" priority="2"/>
  </conditionalFormatting>
  <conditionalFormatting sqref="Q69">
    <cfRule type="duplicateValues" dxfId="11" priority="3"/>
  </conditionalFormatting>
  <printOptions horizontalCentered="1"/>
  <pageMargins left="0" right="0" top="0" bottom="0" header="0" footer="0"/>
  <pageSetup paperSize="9" scale="4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118"/>
  <sheetViews>
    <sheetView zoomScale="75" zoomScaleNormal="75" workbookViewId="0">
      <pane ySplit="4" topLeftCell="A20" activePane="bottomLeft" state="frozen"/>
      <selection activeCell="X50" sqref="X50"/>
      <selection pane="bottomLeft" activeCell="G31" sqref="G31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39" s="4" customFormat="1" ht="22">
      <c r="A1" s="3"/>
      <c r="B1" s="7"/>
      <c r="Q1" s="1" t="s">
        <v>1219</v>
      </c>
      <c r="AJ1" s="5" t="s">
        <v>1645</v>
      </c>
    </row>
    <row r="2" spans="1:39" s="11" customFormat="1" ht="15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39" s="11" customFormat="1" ht="15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39" s="11" customFormat="1" ht="15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39" s="57" customFormat="1" ht="17.5">
      <c r="A5" s="12" t="s">
        <v>0</v>
      </c>
      <c r="B5" s="16"/>
      <c r="C5" s="16"/>
      <c r="D5" s="16"/>
      <c r="E5" s="16"/>
      <c r="F5" s="16"/>
      <c r="G5" s="16">
        <v>1160</v>
      </c>
      <c r="H5" s="25"/>
      <c r="I5" s="16">
        <v>1160</v>
      </c>
      <c r="J5" s="16">
        <v>1600</v>
      </c>
      <c r="K5" s="68">
        <v>1390</v>
      </c>
      <c r="L5" s="16">
        <v>1540</v>
      </c>
      <c r="M5" s="16">
        <v>1540</v>
      </c>
      <c r="N5" s="16">
        <v>1120</v>
      </c>
      <c r="O5" s="25"/>
      <c r="P5" s="16">
        <v>1120</v>
      </c>
      <c r="Q5" s="16">
        <v>1330</v>
      </c>
      <c r="R5" s="16">
        <v>1540</v>
      </c>
      <c r="S5" s="93">
        <v>930</v>
      </c>
      <c r="T5" s="16">
        <v>1330</v>
      </c>
      <c r="U5" s="16">
        <v>1330</v>
      </c>
      <c r="V5" s="25"/>
      <c r="W5" s="16">
        <v>1330</v>
      </c>
      <c r="X5" s="16">
        <v>1330</v>
      </c>
      <c r="Y5" s="16">
        <v>1330</v>
      </c>
      <c r="Z5" s="16">
        <v>1330</v>
      </c>
      <c r="AA5" s="16">
        <v>1330</v>
      </c>
      <c r="AB5" s="16">
        <v>1330</v>
      </c>
      <c r="AC5" s="25"/>
      <c r="AD5" s="16">
        <v>1330</v>
      </c>
      <c r="AE5" s="16">
        <v>1330</v>
      </c>
      <c r="AF5" s="16">
        <v>1330</v>
      </c>
      <c r="AG5" s="16">
        <v>1330</v>
      </c>
      <c r="AH5" s="16">
        <v>1330</v>
      </c>
      <c r="AI5" s="16">
        <v>1120</v>
      </c>
      <c r="AJ5" s="25"/>
      <c r="AK5" s="16">
        <v>1120</v>
      </c>
      <c r="AL5" s="16">
        <v>1120</v>
      </c>
      <c r="AM5" s="17">
        <f>+SUM(B5:AL5)</f>
        <v>35080</v>
      </c>
    </row>
    <row r="6" spans="1:39" s="57" customFormat="1" ht="17.5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8">
        <v>11</v>
      </c>
      <c r="J6" s="18">
        <v>11</v>
      </c>
      <c r="K6" s="18">
        <v>11</v>
      </c>
      <c r="L6" s="18">
        <v>11</v>
      </c>
      <c r="M6" s="18">
        <v>8</v>
      </c>
      <c r="N6" s="18">
        <v>8</v>
      </c>
      <c r="O6" s="25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92">
        <v>9.5</v>
      </c>
      <c r="X6" s="192">
        <v>9.5</v>
      </c>
      <c r="Y6" s="192">
        <v>9.5</v>
      </c>
      <c r="Z6" s="192">
        <v>9.5</v>
      </c>
      <c r="AA6" s="192">
        <v>9.5</v>
      </c>
      <c r="AB6" s="192">
        <v>9.5</v>
      </c>
      <c r="AC6" s="193"/>
      <c r="AD6" s="192">
        <v>9.5</v>
      </c>
      <c r="AE6" s="192">
        <v>9.5</v>
      </c>
      <c r="AF6" s="192">
        <v>9.5</v>
      </c>
      <c r="AG6" s="192">
        <v>9.5</v>
      </c>
      <c r="AH6" s="18">
        <v>8</v>
      </c>
      <c r="AI6" s="18">
        <v>8</v>
      </c>
      <c r="AJ6" s="25"/>
      <c r="AK6" s="18">
        <v>8</v>
      </c>
      <c r="AL6" s="18">
        <v>8</v>
      </c>
      <c r="AM6" s="17"/>
    </row>
    <row r="7" spans="1:39" s="57" customFormat="1" ht="17.5">
      <c r="A7" s="2" t="s">
        <v>19</v>
      </c>
      <c r="B7" s="41"/>
      <c r="C7" s="41"/>
      <c r="D7" s="41"/>
      <c r="E7" s="41"/>
      <c r="F7" s="41"/>
      <c r="G7" s="217" t="s">
        <v>345</v>
      </c>
      <c r="H7" s="25"/>
      <c r="I7" s="41"/>
      <c r="J7" s="41"/>
      <c r="K7" s="67" t="s">
        <v>98</v>
      </c>
      <c r="L7" s="41"/>
      <c r="M7" s="41"/>
      <c r="N7" s="41"/>
      <c r="O7" s="25"/>
      <c r="P7" s="41"/>
      <c r="Q7" s="41"/>
      <c r="R7" s="41"/>
      <c r="S7" s="67" t="s">
        <v>98</v>
      </c>
      <c r="T7" s="41"/>
      <c r="U7" s="41"/>
      <c r="V7" s="25"/>
      <c r="W7" s="41"/>
      <c r="X7" s="41"/>
      <c r="Y7" s="41"/>
      <c r="Z7" s="41"/>
      <c r="AA7" s="41"/>
      <c r="AB7" s="41"/>
      <c r="AC7" s="25"/>
      <c r="AD7" s="41"/>
      <c r="AE7" s="41"/>
      <c r="AF7" s="41"/>
      <c r="AG7" s="41"/>
      <c r="AH7" s="41"/>
      <c r="AI7" s="41"/>
      <c r="AJ7" s="25"/>
      <c r="AK7" s="41"/>
      <c r="AL7" s="60"/>
      <c r="AM7" s="17"/>
    </row>
    <row r="8" spans="1:39" s="57" customFormat="1" ht="17.5">
      <c r="A8" s="2" t="s">
        <v>20</v>
      </c>
      <c r="B8" s="20"/>
      <c r="C8" s="20"/>
      <c r="D8" s="20"/>
      <c r="E8" s="20"/>
      <c r="F8" s="20"/>
      <c r="G8" s="20"/>
      <c r="H8" s="25"/>
      <c r="I8" s="20"/>
      <c r="J8" s="20"/>
      <c r="K8" s="20">
        <v>0.9</v>
      </c>
      <c r="L8" s="20"/>
      <c r="M8" s="20"/>
      <c r="N8" s="20"/>
      <c r="O8" s="25"/>
      <c r="P8" s="20"/>
      <c r="Q8" s="20"/>
      <c r="R8" s="20"/>
      <c r="S8" s="20">
        <v>0.7</v>
      </c>
      <c r="T8" s="20"/>
      <c r="U8" s="20"/>
      <c r="V8" s="25"/>
      <c r="W8" s="20"/>
      <c r="X8" s="20"/>
      <c r="Y8" s="20"/>
      <c r="Z8" s="20"/>
      <c r="AA8" s="20"/>
      <c r="AB8" s="20"/>
      <c r="AC8" s="25"/>
      <c r="AD8" s="20"/>
      <c r="AE8" s="20"/>
      <c r="AF8" s="20"/>
      <c r="AG8" s="20"/>
      <c r="AH8" s="20"/>
      <c r="AI8" s="20"/>
      <c r="AJ8" s="25"/>
      <c r="AK8" s="20"/>
      <c r="AL8" s="60"/>
      <c r="AM8" s="17"/>
    </row>
    <row r="9" spans="1:39" s="101" customFormat="1" ht="14.25" customHeight="1">
      <c r="A9" s="229" t="s">
        <v>32</v>
      </c>
      <c r="B9" s="46"/>
      <c r="C9" s="49"/>
      <c r="D9" s="40"/>
      <c r="F9" s="47"/>
      <c r="G9" s="42" t="s">
        <v>833</v>
      </c>
      <c r="H9" s="48"/>
      <c r="I9" s="102"/>
      <c r="J9" s="47"/>
      <c r="K9" s="102"/>
      <c r="M9" s="50" t="s">
        <v>195</v>
      </c>
      <c r="O9" s="48"/>
      <c r="P9" s="40"/>
      <c r="Q9" s="102"/>
      <c r="S9" s="50" t="s">
        <v>195</v>
      </c>
      <c r="T9" s="102"/>
      <c r="U9" s="11"/>
      <c r="V9" s="48"/>
      <c r="W9" s="40"/>
      <c r="X9" s="50"/>
      <c r="Z9" s="40"/>
      <c r="AA9" s="11"/>
      <c r="AB9" s="102"/>
      <c r="AC9" s="48"/>
      <c r="AD9" s="50" t="s">
        <v>195</v>
      </c>
      <c r="AE9" s="102"/>
      <c r="AG9" s="102"/>
      <c r="AH9" s="102"/>
      <c r="AI9" s="47"/>
      <c r="AJ9" s="48"/>
      <c r="AK9" s="62"/>
      <c r="AL9" s="61"/>
      <c r="AM9" s="11"/>
    </row>
    <row r="10" spans="1:39" s="101" customFormat="1" ht="14.25" customHeight="1">
      <c r="A10" s="230"/>
      <c r="B10" s="22"/>
      <c r="C10" s="22"/>
      <c r="D10" s="40"/>
      <c r="E10" s="102"/>
      <c r="F10" s="21"/>
      <c r="G10" s="171" t="s">
        <v>1492</v>
      </c>
      <c r="H10" s="48"/>
      <c r="I10" s="102"/>
      <c r="J10" s="21"/>
      <c r="K10" s="102"/>
      <c r="L10" s="102"/>
      <c r="M10" s="22" t="s">
        <v>222</v>
      </c>
      <c r="N10" s="102"/>
      <c r="O10" s="48"/>
      <c r="P10" s="40"/>
      <c r="Q10" s="102"/>
      <c r="R10" s="102"/>
      <c r="S10" s="74" t="s">
        <v>200</v>
      </c>
      <c r="T10" s="102"/>
      <c r="U10" s="40"/>
      <c r="V10" s="48"/>
      <c r="W10" s="40"/>
      <c r="X10" s="40"/>
      <c r="Y10" s="102"/>
      <c r="Z10" s="102"/>
      <c r="AA10" s="40"/>
      <c r="AB10" s="102"/>
      <c r="AC10" s="48"/>
      <c r="AD10" s="171" t="s">
        <v>1091</v>
      </c>
      <c r="AE10" s="102"/>
      <c r="AG10" s="102"/>
      <c r="AH10" s="102"/>
      <c r="AI10" s="21"/>
      <c r="AJ10" s="48"/>
      <c r="AK10" s="58"/>
      <c r="AL10" s="61"/>
      <c r="AM10" s="11"/>
    </row>
    <row r="11" spans="1:39" s="101" customFormat="1" ht="14.25" customHeight="1">
      <c r="A11" s="230"/>
      <c r="B11" s="22"/>
      <c r="C11" s="22"/>
      <c r="D11" s="40"/>
      <c r="E11" s="102"/>
      <c r="F11" s="21"/>
      <c r="G11" s="171" t="s">
        <v>1493</v>
      </c>
      <c r="H11" s="48"/>
      <c r="I11" s="102"/>
      <c r="J11" s="21"/>
      <c r="K11" s="102"/>
      <c r="L11" s="102"/>
      <c r="M11" s="74" t="s">
        <v>221</v>
      </c>
      <c r="N11" s="102"/>
      <c r="O11" s="48"/>
      <c r="P11" s="40"/>
      <c r="Q11" s="102"/>
      <c r="R11" s="102"/>
      <c r="S11" s="74" t="s">
        <v>199</v>
      </c>
      <c r="T11" s="102"/>
      <c r="U11" s="40"/>
      <c r="V11" s="48"/>
      <c r="W11" s="40"/>
      <c r="X11" s="40"/>
      <c r="Y11" s="102"/>
      <c r="Z11" s="102"/>
      <c r="AA11" s="40"/>
      <c r="AB11" s="102"/>
      <c r="AC11" s="48"/>
      <c r="AD11" s="166" t="s">
        <v>1358</v>
      </c>
      <c r="AE11" s="102"/>
      <c r="AG11" s="102"/>
      <c r="AH11" s="102"/>
      <c r="AI11" s="21"/>
      <c r="AJ11" s="48"/>
      <c r="AK11" s="58"/>
      <c r="AL11" s="61"/>
      <c r="AM11" s="11"/>
    </row>
    <row r="12" spans="1:39" s="101" customFormat="1" ht="14.25" customHeight="1">
      <c r="A12" s="230"/>
      <c r="B12" s="22"/>
      <c r="C12" s="55"/>
      <c r="D12" s="40"/>
      <c r="E12" s="102"/>
      <c r="F12" s="203"/>
      <c r="G12" s="171" t="s">
        <v>1494</v>
      </c>
      <c r="H12" s="48"/>
      <c r="I12" s="102"/>
      <c r="J12" s="21"/>
      <c r="K12" s="102"/>
      <c r="L12" s="102"/>
      <c r="M12" s="74" t="s">
        <v>220</v>
      </c>
      <c r="N12" s="102"/>
      <c r="O12" s="48"/>
      <c r="P12" s="40"/>
      <c r="Q12" s="102"/>
      <c r="R12" s="102"/>
      <c r="S12" s="102"/>
      <c r="T12" s="102"/>
      <c r="U12" s="40"/>
      <c r="V12" s="48"/>
      <c r="W12" s="40"/>
      <c r="X12" s="102"/>
      <c r="Y12" s="102"/>
      <c r="Z12" s="102"/>
      <c r="AA12" s="40"/>
      <c r="AB12" s="102"/>
      <c r="AC12" s="48"/>
      <c r="AD12" s="102"/>
      <c r="AE12" s="102"/>
      <c r="AG12" s="102"/>
      <c r="AH12" s="102"/>
      <c r="AI12" s="21"/>
      <c r="AJ12" s="48"/>
      <c r="AK12" s="58"/>
      <c r="AL12" s="61"/>
      <c r="AM12" s="11"/>
    </row>
    <row r="13" spans="1:39" s="101" customFormat="1" ht="14.25" customHeight="1">
      <c r="A13" s="230"/>
      <c r="B13" s="22"/>
      <c r="C13" s="22"/>
      <c r="D13" s="40"/>
      <c r="E13" s="102"/>
      <c r="F13" s="21"/>
      <c r="G13" s="171" t="s">
        <v>1495</v>
      </c>
      <c r="H13" s="48"/>
      <c r="I13" s="102"/>
      <c r="J13" s="21"/>
      <c r="K13" s="102"/>
      <c r="L13" s="102"/>
      <c r="M13" s="102"/>
      <c r="N13" s="102"/>
      <c r="O13" s="48"/>
      <c r="P13" s="40"/>
      <c r="Q13" s="102"/>
      <c r="R13" s="102"/>
      <c r="S13" s="102"/>
      <c r="T13" s="102"/>
      <c r="V13" s="48"/>
      <c r="W13" s="40"/>
      <c r="X13" s="102"/>
      <c r="Y13" s="102"/>
      <c r="Z13" s="102"/>
      <c r="AA13" s="102"/>
      <c r="AB13" s="102"/>
      <c r="AC13" s="48"/>
      <c r="AD13" s="102"/>
      <c r="AE13" s="102"/>
      <c r="AF13" s="102"/>
      <c r="AG13" s="102"/>
      <c r="AH13" s="102"/>
      <c r="AI13" s="21"/>
      <c r="AJ13" s="48"/>
      <c r="AK13" s="58"/>
      <c r="AL13" s="61"/>
      <c r="AM13" s="11"/>
    </row>
    <row r="14" spans="1:39" s="101" customFormat="1" ht="14.25" customHeight="1">
      <c r="A14" s="230"/>
      <c r="B14" s="22"/>
      <c r="C14" s="22"/>
      <c r="D14" s="40"/>
      <c r="E14" s="102"/>
      <c r="F14" s="21"/>
      <c r="G14" s="171" t="s">
        <v>1496</v>
      </c>
      <c r="H14" s="48"/>
      <c r="I14" s="102"/>
      <c r="J14" s="21"/>
      <c r="K14" s="102"/>
      <c r="L14" s="102"/>
      <c r="M14" s="40"/>
      <c r="N14" s="40"/>
      <c r="O14" s="48"/>
      <c r="P14" s="40"/>
      <c r="Q14" s="102"/>
      <c r="R14" s="102"/>
      <c r="S14" s="102"/>
      <c r="T14" s="102"/>
      <c r="U14" s="40"/>
      <c r="V14" s="48"/>
      <c r="W14" s="40"/>
      <c r="X14" s="102"/>
      <c r="Y14" s="102"/>
      <c r="Z14" s="102"/>
      <c r="AA14" s="102"/>
      <c r="AB14" s="102"/>
      <c r="AC14" s="48"/>
      <c r="AD14" s="102"/>
      <c r="AE14" s="102"/>
      <c r="AF14" s="102"/>
      <c r="AG14" s="102"/>
      <c r="AH14" s="102"/>
      <c r="AI14" s="21"/>
      <c r="AJ14" s="48"/>
      <c r="AK14" s="58"/>
      <c r="AL14" s="61"/>
      <c r="AM14" s="11"/>
    </row>
    <row r="15" spans="1:39" s="101" customFormat="1" ht="14.25" customHeight="1">
      <c r="A15" s="230"/>
      <c r="B15" s="22"/>
      <c r="C15" s="22"/>
      <c r="D15" s="40"/>
      <c r="E15" s="102"/>
      <c r="F15" s="21"/>
      <c r="G15" s="213" t="s">
        <v>1384</v>
      </c>
      <c r="H15" s="48"/>
      <c r="I15" s="102"/>
      <c r="J15" s="21"/>
      <c r="K15" s="102"/>
      <c r="L15" s="102"/>
      <c r="M15" s="40"/>
      <c r="N15" s="40"/>
      <c r="O15" s="48"/>
      <c r="P15" s="40"/>
      <c r="Q15" s="102"/>
      <c r="R15" s="102"/>
      <c r="S15" s="102"/>
      <c r="T15" s="102"/>
      <c r="U15" s="40"/>
      <c r="V15" s="48"/>
      <c r="W15" s="40"/>
      <c r="X15" s="102"/>
      <c r="Y15" s="102"/>
      <c r="Z15" s="102"/>
      <c r="AA15" s="50"/>
      <c r="AB15" s="102"/>
      <c r="AC15" s="48"/>
      <c r="AD15" s="102"/>
      <c r="AE15" s="102"/>
      <c r="AF15" s="102"/>
      <c r="AG15" s="102"/>
      <c r="AH15" s="102"/>
      <c r="AI15" s="21"/>
      <c r="AJ15" s="231">
        <f>+SUM(B20:AL20)</f>
        <v>37869</v>
      </c>
      <c r="AK15" s="232"/>
      <c r="AL15" s="23" t="s">
        <v>1</v>
      </c>
      <c r="AM15" s="11"/>
    </row>
    <row r="16" spans="1:39" s="101" customFormat="1" ht="14.25" customHeight="1">
      <c r="A16" s="230"/>
      <c r="B16" s="22"/>
      <c r="C16" s="22"/>
      <c r="D16" s="40"/>
      <c r="E16" s="102"/>
      <c r="F16" s="21"/>
      <c r="G16" s="50" t="s">
        <v>195</v>
      </c>
      <c r="H16" s="48"/>
      <c r="I16" s="102"/>
      <c r="J16" s="21"/>
      <c r="K16" s="102"/>
      <c r="L16" s="102"/>
      <c r="M16" s="40"/>
      <c r="N16" s="40"/>
      <c r="O16" s="48"/>
      <c r="P16" s="40"/>
      <c r="Q16" s="102"/>
      <c r="R16" s="102"/>
      <c r="S16" s="102"/>
      <c r="T16" s="102"/>
      <c r="U16" s="40"/>
      <c r="V16" s="48"/>
      <c r="W16" s="40"/>
      <c r="X16" s="102"/>
      <c r="Y16" s="102"/>
      <c r="Z16" s="102"/>
      <c r="AA16" s="22"/>
      <c r="AB16" s="102"/>
      <c r="AC16" s="48"/>
      <c r="AD16" s="102"/>
      <c r="AE16" s="102"/>
      <c r="AF16" s="102"/>
      <c r="AG16" s="102"/>
      <c r="AH16" s="102"/>
      <c r="AI16" s="21"/>
      <c r="AJ16" s="48"/>
      <c r="AK16" s="58"/>
      <c r="AL16" s="61"/>
      <c r="AM16" s="11"/>
    </row>
    <row r="17" spans="1:39" s="101" customFormat="1" ht="14.25" customHeight="1">
      <c r="A17" s="230"/>
      <c r="B17" s="91"/>
      <c r="C17" s="22"/>
      <c r="D17" s="40"/>
      <c r="E17" s="102"/>
      <c r="F17" s="21"/>
      <c r="G17" s="171" t="s">
        <v>1497</v>
      </c>
      <c r="H17" s="48"/>
      <c r="I17" s="102"/>
      <c r="J17" s="21"/>
      <c r="K17" s="102"/>
      <c r="L17" s="102"/>
      <c r="M17" s="40"/>
      <c r="N17" s="40"/>
      <c r="O17" s="48"/>
      <c r="P17" s="40"/>
      <c r="Q17" s="102"/>
      <c r="R17" s="102"/>
      <c r="S17" s="102"/>
      <c r="T17" s="102"/>
      <c r="U17" s="40"/>
      <c r="V17" s="48"/>
      <c r="W17" s="21"/>
      <c r="X17" s="102"/>
      <c r="Y17" s="102"/>
      <c r="Z17" s="40"/>
      <c r="AA17" s="40"/>
      <c r="AB17" s="102"/>
      <c r="AC17" s="48"/>
      <c r="AD17" s="102"/>
      <c r="AE17" s="102"/>
      <c r="AF17" s="102"/>
      <c r="AG17" s="102"/>
      <c r="AH17" s="102"/>
      <c r="AI17" s="21"/>
      <c r="AJ17" s="48"/>
      <c r="AL17" s="61"/>
      <c r="AM17" s="11"/>
    </row>
    <row r="18" spans="1:39" s="101" customFormat="1" ht="14.25" customHeight="1">
      <c r="A18" s="230"/>
      <c r="B18" s="91"/>
      <c r="C18" s="22"/>
      <c r="D18" s="40"/>
      <c r="E18" s="102"/>
      <c r="F18" s="21"/>
      <c r="G18" s="195" t="s">
        <v>1365</v>
      </c>
      <c r="H18" s="48"/>
      <c r="I18" s="102"/>
      <c r="J18" s="21"/>
      <c r="K18" s="102"/>
      <c r="L18" s="102"/>
      <c r="M18" s="40"/>
      <c r="N18" s="40"/>
      <c r="O18" s="48"/>
      <c r="P18" s="40"/>
      <c r="Q18" s="102"/>
      <c r="R18" s="102"/>
      <c r="S18" s="102"/>
      <c r="T18" s="40"/>
      <c r="U18" s="21"/>
      <c r="V18" s="48"/>
      <c r="W18" s="21"/>
      <c r="X18" s="40"/>
      <c r="Y18" s="102"/>
      <c r="Z18" s="102"/>
      <c r="AA18" s="40"/>
      <c r="AB18" s="21"/>
      <c r="AC18" s="48"/>
      <c r="AD18" s="40"/>
      <c r="AE18" s="102"/>
      <c r="AF18" s="102"/>
      <c r="AG18" s="102"/>
      <c r="AI18" s="40"/>
      <c r="AJ18" s="48"/>
      <c r="AK18" s="156"/>
      <c r="AL18" s="61"/>
      <c r="AM18" s="11"/>
    </row>
    <row r="19" spans="1:39" s="101" customFormat="1" ht="14.25" customHeight="1">
      <c r="A19" s="230"/>
      <c r="B19" s="91"/>
      <c r="C19" s="22"/>
      <c r="D19" s="40"/>
      <c r="E19" s="102"/>
      <c r="F19" s="21"/>
      <c r="G19" s="21"/>
      <c r="H19" s="48"/>
      <c r="I19" s="102"/>
      <c r="J19" s="21"/>
      <c r="K19" s="102"/>
      <c r="L19" s="40"/>
      <c r="M19" s="40"/>
      <c r="N19" s="102"/>
      <c r="O19" s="48"/>
      <c r="P19" s="40"/>
      <c r="Q19" s="102"/>
      <c r="R19" s="102"/>
      <c r="S19" s="102"/>
      <c r="T19" s="40"/>
      <c r="U19" s="21"/>
      <c r="V19" s="48"/>
      <c r="W19" s="21"/>
      <c r="X19" s="40"/>
      <c r="Y19" s="102"/>
      <c r="Z19" s="102"/>
      <c r="AA19" s="40"/>
      <c r="AB19" s="21"/>
      <c r="AC19" s="48"/>
      <c r="AD19" s="40"/>
      <c r="AE19" s="102"/>
      <c r="AG19" s="102"/>
      <c r="AH19" s="97" t="s">
        <v>1259</v>
      </c>
      <c r="AI19" s="97"/>
      <c r="AJ19" s="48"/>
      <c r="AK19" s="156"/>
      <c r="AL19" s="61"/>
      <c r="AM19" s="11"/>
    </row>
    <row r="20" spans="1:39" s="57" customFormat="1" ht="17.25" customHeight="1">
      <c r="A20" s="230"/>
      <c r="B20" s="24"/>
      <c r="C20" s="56"/>
      <c r="D20" s="24"/>
      <c r="E20" s="56"/>
      <c r="F20" s="24"/>
      <c r="G20" s="233">
        <f>900+756+600+900+990+2713</f>
        <v>6859</v>
      </c>
      <c r="H20" s="234"/>
      <c r="I20" s="24"/>
      <c r="J20" s="56"/>
      <c r="K20" s="24"/>
      <c r="L20" s="56"/>
      <c r="M20" s="233">
        <f>3237+916+2420</f>
        <v>6573</v>
      </c>
      <c r="N20" s="234"/>
      <c r="O20" s="56"/>
      <c r="P20" s="56"/>
      <c r="Q20" s="24"/>
      <c r="R20" s="24"/>
      <c r="S20" s="233">
        <f>5468+6969</f>
        <v>12437</v>
      </c>
      <c r="T20" s="234"/>
      <c r="U20" s="56"/>
      <c r="V20" s="25"/>
      <c r="W20" s="24"/>
      <c r="X20" s="24"/>
      <c r="Y20" s="24"/>
      <c r="Z20" s="24"/>
      <c r="AA20" s="24"/>
      <c r="AB20" s="24"/>
      <c r="AC20" s="24"/>
      <c r="AD20" s="233">
        <v>12000</v>
      </c>
      <c r="AE20" s="234"/>
      <c r="AF20" s="24"/>
      <c r="AG20" s="24"/>
      <c r="AH20" s="24"/>
      <c r="AI20" s="56"/>
      <c r="AJ20" s="24"/>
      <c r="AK20" s="24"/>
      <c r="AL20" s="64"/>
      <c r="AM20" s="11"/>
    </row>
    <row r="21" spans="1:39" s="11" customFormat="1" ht="2.25" customHeight="1">
      <c r="A21" s="26"/>
      <c r="B21" s="27"/>
      <c r="C21" s="27"/>
      <c r="D21" s="27"/>
      <c r="E21" s="28"/>
      <c r="F21" s="27"/>
      <c r="G21" s="27"/>
      <c r="H21" s="29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30"/>
    </row>
    <row r="22" spans="1:39" s="11" customFormat="1" ht="19.5" customHeight="1">
      <c r="A22" s="12" t="s">
        <v>0</v>
      </c>
      <c r="B22" s="16"/>
      <c r="C22" s="16"/>
      <c r="D22" s="16"/>
      <c r="E22" s="16"/>
      <c r="F22" s="16"/>
      <c r="G22" s="16">
        <v>1080</v>
      </c>
      <c r="H22" s="25"/>
      <c r="I22" s="16">
        <v>1080</v>
      </c>
      <c r="J22" s="16">
        <v>1490</v>
      </c>
      <c r="K22" s="16">
        <v>1490</v>
      </c>
      <c r="L22" s="16">
        <v>1490</v>
      </c>
      <c r="M22" s="16">
        <v>1490</v>
      </c>
      <c r="N22" s="68">
        <v>1040</v>
      </c>
      <c r="O22" s="25"/>
      <c r="P22" s="16">
        <v>1160</v>
      </c>
      <c r="Q22" s="16">
        <v>1380</v>
      </c>
      <c r="R22" s="68">
        <v>1490</v>
      </c>
      <c r="S22" s="51">
        <v>1430</v>
      </c>
      <c r="T22" s="16">
        <v>1650</v>
      </c>
      <c r="U22" s="16">
        <v>1430</v>
      </c>
      <c r="V22" s="25"/>
      <c r="W22" s="16">
        <v>1430</v>
      </c>
      <c r="X22" s="68">
        <v>1150</v>
      </c>
      <c r="Y22" s="16">
        <v>1330</v>
      </c>
      <c r="Z22" s="16">
        <v>1330</v>
      </c>
      <c r="AA22" s="16">
        <v>1330</v>
      </c>
      <c r="AB22" s="16">
        <v>1380</v>
      </c>
      <c r="AC22" s="25"/>
      <c r="AD22" s="16">
        <v>1380</v>
      </c>
      <c r="AE22" s="16">
        <v>1380</v>
      </c>
      <c r="AF22" s="16">
        <v>1380</v>
      </c>
      <c r="AG22" s="16">
        <v>1380</v>
      </c>
      <c r="AH22" s="16">
        <v>1380</v>
      </c>
      <c r="AI22" s="51">
        <v>1160</v>
      </c>
      <c r="AJ22" s="25"/>
      <c r="AK22" s="16">
        <v>1160</v>
      </c>
      <c r="AL22" s="16">
        <v>1160</v>
      </c>
      <c r="AM22" s="17">
        <f>+SUM(B22:AL22)</f>
        <v>36030</v>
      </c>
    </row>
    <row r="23" spans="1:39" s="17" customFormat="1" ht="19.5" customHeight="1">
      <c r="A23" s="12" t="s">
        <v>18</v>
      </c>
      <c r="B23" s="122">
        <v>11</v>
      </c>
      <c r="C23" s="122">
        <v>11</v>
      </c>
      <c r="D23" s="122">
        <v>11</v>
      </c>
      <c r="E23" s="122">
        <v>11</v>
      </c>
      <c r="F23" s="122">
        <v>8</v>
      </c>
      <c r="G23" s="122">
        <v>8</v>
      </c>
      <c r="H23" s="25"/>
      <c r="I23" s="18">
        <v>11</v>
      </c>
      <c r="J23" s="18">
        <v>11</v>
      </c>
      <c r="K23" s="18">
        <v>11</v>
      </c>
      <c r="L23" s="18">
        <v>11</v>
      </c>
      <c r="M23" s="18">
        <v>8</v>
      </c>
      <c r="N23" s="18">
        <v>8</v>
      </c>
      <c r="O23" s="25"/>
      <c r="P23" s="18">
        <v>9.5</v>
      </c>
      <c r="Q23" s="18">
        <v>11</v>
      </c>
      <c r="R23" s="18">
        <v>9.5</v>
      </c>
      <c r="S23" s="18">
        <v>11</v>
      </c>
      <c r="T23" s="18">
        <v>9.5</v>
      </c>
      <c r="U23" s="18">
        <v>9.5</v>
      </c>
      <c r="V23" s="25"/>
      <c r="W23" s="192">
        <v>9.5</v>
      </c>
      <c r="X23" s="192">
        <v>9.5</v>
      </c>
      <c r="Y23" s="192">
        <v>9.5</v>
      </c>
      <c r="Z23" s="192">
        <v>9.5</v>
      </c>
      <c r="AA23" s="192">
        <v>9.5</v>
      </c>
      <c r="AB23" s="192">
        <v>9.5</v>
      </c>
      <c r="AC23" s="193"/>
      <c r="AD23" s="192">
        <v>9.5</v>
      </c>
      <c r="AE23" s="192">
        <v>9.5</v>
      </c>
      <c r="AF23" s="192">
        <v>9.5</v>
      </c>
      <c r="AG23" s="192">
        <v>9.5</v>
      </c>
      <c r="AH23" s="18">
        <v>8</v>
      </c>
      <c r="AI23" s="18">
        <v>8</v>
      </c>
      <c r="AJ23" s="25"/>
      <c r="AK23" s="18">
        <v>8</v>
      </c>
      <c r="AL23" s="18">
        <v>8</v>
      </c>
    </row>
    <row r="24" spans="1:39" s="17" customFormat="1" ht="17.25" customHeight="1">
      <c r="A24" s="2" t="s">
        <v>19</v>
      </c>
      <c r="B24" s="41"/>
      <c r="C24" s="41"/>
      <c r="D24" s="41"/>
      <c r="E24" s="41"/>
      <c r="F24" s="41"/>
      <c r="G24" s="88" t="s">
        <v>317</v>
      </c>
      <c r="H24" s="25"/>
      <c r="I24" s="41"/>
      <c r="J24" s="41"/>
      <c r="K24" s="41"/>
      <c r="L24" s="41"/>
      <c r="M24" s="41"/>
      <c r="N24" s="88" t="s">
        <v>345</v>
      </c>
      <c r="O24" s="25"/>
      <c r="P24" s="41"/>
      <c r="Q24" s="41"/>
      <c r="R24" s="88" t="s">
        <v>1238</v>
      </c>
      <c r="S24" s="41"/>
      <c r="T24" s="41"/>
      <c r="U24" s="41"/>
      <c r="V24" s="25"/>
      <c r="W24" s="41"/>
      <c r="X24" s="88" t="s">
        <v>317</v>
      </c>
      <c r="Y24" s="88" t="s">
        <v>98</v>
      </c>
      <c r="Z24" s="41"/>
      <c r="AA24" s="41"/>
      <c r="AB24" s="88" t="s">
        <v>345</v>
      </c>
      <c r="AC24" s="25"/>
      <c r="AD24" s="41"/>
      <c r="AE24" s="41"/>
      <c r="AF24" s="41"/>
      <c r="AG24" s="41"/>
      <c r="AH24" s="41"/>
      <c r="AI24" s="41"/>
      <c r="AJ24" s="25"/>
      <c r="AK24" s="41"/>
      <c r="AL24" s="41"/>
    </row>
    <row r="25" spans="1:39" s="17" customFormat="1" ht="17.25" customHeight="1">
      <c r="A25" s="2" t="s">
        <v>20</v>
      </c>
      <c r="B25" s="20"/>
      <c r="C25" s="20"/>
      <c r="D25" s="20"/>
      <c r="E25" s="20"/>
      <c r="F25" s="20"/>
      <c r="G25" s="20"/>
      <c r="H25" s="25"/>
      <c r="I25" s="20"/>
      <c r="J25" s="20"/>
      <c r="K25" s="20"/>
      <c r="L25" s="20"/>
      <c r="M25" s="20"/>
      <c r="N25" s="20">
        <v>0.9</v>
      </c>
      <c r="O25" s="25"/>
      <c r="P25" s="20"/>
      <c r="Q25" s="20"/>
      <c r="R25" s="20">
        <v>0.9</v>
      </c>
      <c r="S25" s="20"/>
      <c r="T25" s="20"/>
      <c r="U25" s="20"/>
      <c r="V25" s="25"/>
      <c r="W25" s="20"/>
      <c r="X25" s="20">
        <v>0.9</v>
      </c>
      <c r="Y25" s="20"/>
      <c r="Z25" s="20"/>
      <c r="AA25" s="20"/>
      <c r="AB25" s="20"/>
      <c r="AC25" s="25"/>
      <c r="AD25" s="20"/>
      <c r="AE25" s="20"/>
      <c r="AF25" s="20"/>
      <c r="AG25" s="20"/>
      <c r="AH25" s="20"/>
      <c r="AI25" s="20"/>
      <c r="AJ25" s="25"/>
      <c r="AK25" s="20"/>
      <c r="AL25" s="20"/>
    </row>
    <row r="26" spans="1:39" s="11" customFormat="1" ht="13.5" customHeight="1">
      <c r="A26" s="229" t="s">
        <v>33</v>
      </c>
      <c r="B26" s="46"/>
      <c r="C26" s="49"/>
      <c r="D26" s="40"/>
      <c r="E26" s="47"/>
      <c r="F26" s="47"/>
      <c r="G26" s="50" t="s">
        <v>1532</v>
      </c>
      <c r="H26" s="48"/>
      <c r="K26" s="50"/>
      <c r="L26" s="40"/>
      <c r="N26" s="50" t="s">
        <v>626</v>
      </c>
      <c r="O26" s="48"/>
      <c r="P26" s="40"/>
      <c r="Q26" s="40"/>
      <c r="S26" s="40"/>
      <c r="T26" s="40"/>
      <c r="V26" s="48"/>
      <c r="X26" s="50" t="s">
        <v>1304</v>
      </c>
      <c r="Y26" s="40"/>
      <c r="Z26" s="40"/>
      <c r="AA26" s="50"/>
      <c r="AB26" s="40"/>
      <c r="AC26" s="48"/>
      <c r="AD26" s="50"/>
      <c r="AE26" s="53"/>
      <c r="AF26" s="40"/>
      <c r="AG26" s="40"/>
      <c r="AH26" s="42" t="s">
        <v>885</v>
      </c>
      <c r="AJ26" s="48"/>
      <c r="AK26" s="62"/>
      <c r="AL26" s="61"/>
    </row>
    <row r="27" spans="1:39" s="11" customFormat="1" ht="13.5" customHeight="1">
      <c r="A27" s="230"/>
      <c r="B27" s="22"/>
      <c r="C27" s="22"/>
      <c r="D27" s="40"/>
      <c r="E27" s="21"/>
      <c r="F27" s="21"/>
      <c r="G27" s="171" t="s">
        <v>1538</v>
      </c>
      <c r="H27" s="48"/>
      <c r="I27" s="40"/>
      <c r="J27" s="40"/>
      <c r="K27" s="22"/>
      <c r="L27" s="40"/>
      <c r="M27" s="40"/>
      <c r="N27" s="163" t="s">
        <v>627</v>
      </c>
      <c r="O27" s="48"/>
      <c r="P27" s="40"/>
      <c r="Q27" s="40"/>
      <c r="R27" s="40"/>
      <c r="S27" s="40"/>
      <c r="T27" s="40"/>
      <c r="U27" s="40"/>
      <c r="V27" s="48"/>
      <c r="W27" s="40"/>
      <c r="X27" s="22" t="s">
        <v>820</v>
      </c>
      <c r="Y27" s="40"/>
      <c r="Z27" s="40"/>
      <c r="AA27" s="40"/>
      <c r="AB27" s="40"/>
      <c r="AC27" s="48"/>
      <c r="AD27" s="22"/>
      <c r="AE27" s="53"/>
      <c r="AF27" s="40"/>
      <c r="AG27" s="40"/>
      <c r="AH27" s="22" t="s">
        <v>884</v>
      </c>
      <c r="AI27" s="40"/>
      <c r="AJ27" s="48"/>
      <c r="AK27" s="58"/>
      <c r="AL27" s="61"/>
    </row>
    <row r="28" spans="1:39" s="11" customFormat="1" ht="13.5" customHeight="1">
      <c r="A28" s="230"/>
      <c r="B28" s="22"/>
      <c r="C28" s="22"/>
      <c r="D28" s="40"/>
      <c r="E28" s="40"/>
      <c r="F28" s="40"/>
      <c r="G28" s="213" t="s">
        <v>1384</v>
      </c>
      <c r="H28" s="48"/>
      <c r="I28" s="40"/>
      <c r="J28" s="40"/>
      <c r="K28" s="22"/>
      <c r="L28" s="40"/>
      <c r="M28" s="40"/>
      <c r="N28" s="163" t="s">
        <v>628</v>
      </c>
      <c r="O28" s="48"/>
      <c r="P28" s="40"/>
      <c r="Q28" s="40"/>
      <c r="R28" s="40"/>
      <c r="S28" s="40"/>
      <c r="T28" s="40"/>
      <c r="U28" s="40"/>
      <c r="V28" s="48"/>
      <c r="W28" s="40"/>
      <c r="X28" s="22" t="s">
        <v>821</v>
      </c>
      <c r="Y28" s="40"/>
      <c r="Z28" s="40"/>
      <c r="AA28" s="40"/>
      <c r="AB28" s="40"/>
      <c r="AC28" s="48"/>
      <c r="AD28" s="22"/>
      <c r="AE28" s="53"/>
      <c r="AF28" s="40"/>
      <c r="AG28" s="40"/>
      <c r="AH28" s="50" t="s">
        <v>400</v>
      </c>
      <c r="AI28" s="21"/>
      <c r="AJ28" s="48"/>
      <c r="AK28" s="58"/>
      <c r="AL28" s="61"/>
    </row>
    <row r="29" spans="1:39" s="11" customFormat="1" ht="13.5" customHeight="1">
      <c r="A29" s="230"/>
      <c r="B29" s="22"/>
      <c r="C29" s="55"/>
      <c r="D29" s="40"/>
      <c r="E29" s="50"/>
      <c r="F29" s="40"/>
      <c r="G29" s="42" t="s">
        <v>885</v>
      </c>
      <c r="H29" s="48"/>
      <c r="I29" s="40"/>
      <c r="J29" s="40"/>
      <c r="K29" s="22"/>
      <c r="L29" s="40"/>
      <c r="M29" s="40"/>
      <c r="N29" s="163" t="s">
        <v>629</v>
      </c>
      <c r="O29" s="48"/>
      <c r="P29" s="40"/>
      <c r="Q29" s="40"/>
      <c r="R29" s="40"/>
      <c r="S29" s="40"/>
      <c r="T29" s="40"/>
      <c r="U29" s="40"/>
      <c r="V29" s="48"/>
      <c r="W29" s="40"/>
      <c r="X29" s="22" t="s">
        <v>822</v>
      </c>
      <c r="Y29" s="40"/>
      <c r="Z29" s="40"/>
      <c r="AA29" s="40"/>
      <c r="AB29" s="40"/>
      <c r="AC29" s="48"/>
      <c r="AD29" s="22"/>
      <c r="AE29" s="22"/>
      <c r="AF29" s="40"/>
      <c r="AG29" s="40"/>
      <c r="AH29" s="53" t="s">
        <v>407</v>
      </c>
      <c r="AI29" s="21"/>
      <c r="AJ29" s="48"/>
      <c r="AK29" s="58"/>
      <c r="AL29" s="61"/>
    </row>
    <row r="30" spans="1:39" s="11" customFormat="1" ht="13.5" customHeight="1">
      <c r="A30" s="230"/>
      <c r="B30" s="22"/>
      <c r="C30" s="22"/>
      <c r="D30" s="40"/>
      <c r="E30" s="40"/>
      <c r="F30" s="40"/>
      <c r="G30" s="171" t="s">
        <v>1500</v>
      </c>
      <c r="H30" s="48"/>
      <c r="I30" s="40"/>
      <c r="J30" s="40"/>
      <c r="K30" s="53"/>
      <c r="L30" s="40"/>
      <c r="M30" s="40"/>
      <c r="N30" s="171" t="s">
        <v>647</v>
      </c>
      <c r="O30" s="48"/>
      <c r="P30" s="40"/>
      <c r="Q30" s="40"/>
      <c r="R30" s="40"/>
      <c r="S30" s="40"/>
      <c r="T30" s="40"/>
      <c r="U30" s="40"/>
      <c r="V30" s="48"/>
      <c r="W30" s="40"/>
      <c r="X30" s="22" t="s">
        <v>823</v>
      </c>
      <c r="Y30" s="40"/>
      <c r="Z30" s="40"/>
      <c r="AA30" s="40"/>
      <c r="AB30" s="40"/>
      <c r="AC30" s="48"/>
      <c r="AD30" s="22"/>
      <c r="AE30" s="22"/>
      <c r="AF30" s="40"/>
      <c r="AG30" s="40"/>
      <c r="AH30" s="53" t="s">
        <v>404</v>
      </c>
      <c r="AI30" s="21"/>
      <c r="AJ30" s="48"/>
      <c r="AK30" s="58"/>
      <c r="AL30" s="61"/>
    </row>
    <row r="31" spans="1:39" s="11" customFormat="1" ht="13.5" customHeight="1">
      <c r="A31" s="230"/>
      <c r="B31" s="22"/>
      <c r="C31" s="22"/>
      <c r="D31" s="40"/>
      <c r="E31" s="50"/>
      <c r="F31" s="40"/>
      <c r="G31" s="171" t="s">
        <v>1498</v>
      </c>
      <c r="H31" s="48"/>
      <c r="I31" s="40"/>
      <c r="J31" s="40"/>
      <c r="K31" s="53"/>
      <c r="L31" s="40"/>
      <c r="M31" s="40"/>
      <c r="N31" s="171" t="s">
        <v>648</v>
      </c>
      <c r="O31" s="48"/>
      <c r="P31" s="40"/>
      <c r="Q31" s="40"/>
      <c r="R31" s="40"/>
      <c r="S31" s="40"/>
      <c r="T31" s="40"/>
      <c r="U31" s="40"/>
      <c r="V31" s="48"/>
      <c r="W31" s="40"/>
      <c r="X31" s="22" t="s">
        <v>824</v>
      </c>
      <c r="Y31" s="40"/>
      <c r="Z31" s="40"/>
      <c r="AA31" s="40"/>
      <c r="AB31" s="40"/>
      <c r="AC31" s="48"/>
      <c r="AD31" s="22"/>
      <c r="AE31" s="22"/>
      <c r="AF31" s="40"/>
      <c r="AG31" s="40"/>
      <c r="AH31" s="53" t="s">
        <v>405</v>
      </c>
      <c r="AI31" s="21"/>
      <c r="AJ31" s="48"/>
      <c r="AK31" s="58"/>
      <c r="AL31" s="61"/>
    </row>
    <row r="32" spans="1:39" s="11" customFormat="1" ht="13.5" customHeight="1">
      <c r="A32" s="230"/>
      <c r="C32" s="22"/>
      <c r="D32" s="40"/>
      <c r="E32" s="40"/>
      <c r="F32" s="40"/>
      <c r="G32" s="212" t="s">
        <v>1499</v>
      </c>
      <c r="H32" s="48"/>
      <c r="I32" s="40"/>
      <c r="J32" s="40"/>
      <c r="K32" s="53"/>
      <c r="L32" s="40"/>
      <c r="M32" s="40"/>
      <c r="N32" s="171" t="s">
        <v>649</v>
      </c>
      <c r="O32" s="48"/>
      <c r="P32" s="40"/>
      <c r="Q32" s="40"/>
      <c r="R32" s="40"/>
      <c r="S32" s="40"/>
      <c r="T32" s="40"/>
      <c r="U32" s="40"/>
      <c r="V32" s="48"/>
      <c r="W32" s="40"/>
      <c r="X32" s="22" t="s">
        <v>825</v>
      </c>
      <c r="Y32" s="40"/>
      <c r="Z32" s="40"/>
      <c r="AA32" s="40"/>
      <c r="AB32" s="40"/>
      <c r="AC32" s="48"/>
      <c r="AE32" s="40"/>
      <c r="AF32" s="40"/>
      <c r="AG32" s="40"/>
      <c r="AH32" s="53" t="s">
        <v>406</v>
      </c>
      <c r="AI32" s="21"/>
      <c r="AJ32" s="48"/>
      <c r="AL32" s="61"/>
    </row>
    <row r="33" spans="1:39" s="11" customFormat="1" ht="13.5" customHeight="1">
      <c r="A33" s="230"/>
      <c r="B33" s="22"/>
      <c r="C33" s="22"/>
      <c r="D33" s="40"/>
      <c r="E33" s="40"/>
      <c r="F33" s="40"/>
      <c r="G33" s="195" t="s">
        <v>1365</v>
      </c>
      <c r="H33" s="48"/>
      <c r="I33" s="40"/>
      <c r="J33" s="40"/>
      <c r="K33" s="53"/>
      <c r="L33" s="40"/>
      <c r="M33" s="40"/>
      <c r="N33" s="171" t="s">
        <v>650</v>
      </c>
      <c r="O33" s="48"/>
      <c r="P33" s="40"/>
      <c r="Q33" s="40"/>
      <c r="R33" s="40"/>
      <c r="S33" s="40"/>
      <c r="T33" s="22"/>
      <c r="U33" s="40"/>
      <c r="V33" s="48"/>
      <c r="W33" s="40"/>
      <c r="X33" s="22" t="s">
        <v>862</v>
      </c>
      <c r="Y33" s="40"/>
      <c r="Z33" s="40"/>
      <c r="AA33" s="40"/>
      <c r="AB33" s="40"/>
      <c r="AC33" s="48"/>
      <c r="AD33" s="22"/>
      <c r="AE33" s="40"/>
      <c r="AF33" s="40"/>
      <c r="AG33" s="40"/>
      <c r="AH33" s="40"/>
      <c r="AI33" s="21"/>
      <c r="AJ33" s="48"/>
      <c r="AK33" s="58"/>
      <c r="AL33" s="61"/>
    </row>
    <row r="34" spans="1:39" s="11" customFormat="1" ht="13.5" customHeight="1">
      <c r="A34" s="230"/>
      <c r="B34" s="22"/>
      <c r="C34" s="22"/>
      <c r="D34" s="40"/>
      <c r="E34" s="40"/>
      <c r="F34" s="203"/>
      <c r="H34" s="48"/>
      <c r="J34" s="40"/>
      <c r="K34" s="53"/>
      <c r="L34" s="40"/>
      <c r="M34" s="40"/>
      <c r="N34" s="171" t="s">
        <v>652</v>
      </c>
      <c r="O34" s="48"/>
      <c r="P34" s="40"/>
      <c r="Q34" s="40"/>
      <c r="R34" s="40"/>
      <c r="S34" s="40"/>
      <c r="T34" s="40"/>
      <c r="U34" s="40"/>
      <c r="V34" s="48"/>
      <c r="W34" s="40"/>
      <c r="X34" s="22" t="s">
        <v>863</v>
      </c>
      <c r="Y34" s="40"/>
      <c r="Z34" s="40"/>
      <c r="AA34" s="22"/>
      <c r="AB34" s="40"/>
      <c r="AC34" s="48"/>
      <c r="AD34" s="22"/>
      <c r="AE34" s="40"/>
      <c r="AF34" s="40"/>
      <c r="AG34" s="40"/>
      <c r="AH34" s="40"/>
      <c r="AI34" s="21"/>
      <c r="AJ34" s="231">
        <f>+SUM(B45:AL45)</f>
        <v>37289</v>
      </c>
      <c r="AK34" s="232"/>
      <c r="AL34" s="23" t="s">
        <v>1</v>
      </c>
    </row>
    <row r="35" spans="1:39" s="11" customFormat="1" ht="13.5" customHeight="1">
      <c r="A35" s="230"/>
      <c r="C35" s="22"/>
      <c r="D35" s="40"/>
      <c r="E35" s="40"/>
      <c r="F35" s="40"/>
      <c r="H35" s="48"/>
      <c r="I35" s="40"/>
      <c r="J35" s="40"/>
      <c r="K35" s="53"/>
      <c r="L35" s="40"/>
      <c r="M35" s="40"/>
      <c r="N35" s="50" t="s">
        <v>400</v>
      </c>
      <c r="O35" s="48"/>
      <c r="P35" s="40"/>
      <c r="Q35" s="40"/>
      <c r="R35" s="40"/>
      <c r="S35" s="40"/>
      <c r="T35" s="40"/>
      <c r="U35" s="40"/>
      <c r="V35" s="48"/>
      <c r="W35" s="40"/>
      <c r="Y35" s="40"/>
      <c r="Z35" s="40"/>
      <c r="AA35" s="22"/>
      <c r="AB35" s="40"/>
      <c r="AC35" s="48"/>
      <c r="AD35" s="22"/>
      <c r="AE35" s="40"/>
      <c r="AF35" s="40"/>
      <c r="AG35" s="40"/>
      <c r="AH35" s="40"/>
      <c r="AI35" s="21"/>
      <c r="AJ35" s="48"/>
      <c r="AK35" s="40"/>
      <c r="AL35" s="61"/>
    </row>
    <row r="36" spans="1:39" s="11" customFormat="1" ht="13.5" customHeight="1">
      <c r="A36" s="230"/>
      <c r="B36" s="91" t="s">
        <v>909</v>
      </c>
      <c r="C36" s="22"/>
      <c r="D36" s="40"/>
      <c r="E36" s="40"/>
      <c r="F36" s="40"/>
      <c r="G36" s="40"/>
      <c r="H36" s="48"/>
      <c r="I36" s="40"/>
      <c r="J36" s="40"/>
      <c r="K36" s="53"/>
      <c r="L36" s="40"/>
      <c r="M36" s="40"/>
      <c r="N36" s="53" t="s">
        <v>402</v>
      </c>
      <c r="O36" s="48"/>
      <c r="P36" s="40"/>
      <c r="Q36" s="40"/>
      <c r="R36" s="40"/>
      <c r="T36" s="40"/>
      <c r="U36" s="40"/>
      <c r="V36" s="48"/>
      <c r="W36" s="40"/>
      <c r="Y36" s="40"/>
      <c r="Z36" s="40"/>
      <c r="AA36" s="53"/>
      <c r="AB36" s="40"/>
      <c r="AC36" s="48"/>
      <c r="AD36" s="22"/>
      <c r="AE36" s="40"/>
      <c r="AF36" s="40"/>
      <c r="AG36" s="40"/>
      <c r="AH36" s="40"/>
      <c r="AI36" s="21"/>
      <c r="AJ36" s="48"/>
      <c r="AL36" s="61"/>
    </row>
    <row r="37" spans="1:39" s="11" customFormat="1" ht="13.5" customHeight="1">
      <c r="A37" s="230"/>
      <c r="B37" s="22"/>
      <c r="C37" s="22"/>
      <c r="D37" s="40"/>
      <c r="E37" s="40"/>
      <c r="G37" s="40"/>
      <c r="H37" s="48"/>
      <c r="I37" s="40"/>
      <c r="J37" s="40"/>
      <c r="K37" s="40"/>
      <c r="L37" s="40"/>
      <c r="M37" s="40"/>
      <c r="N37" s="53" t="s">
        <v>403</v>
      </c>
      <c r="O37" s="48"/>
      <c r="P37" s="40"/>
      <c r="Q37" s="40"/>
      <c r="R37" s="40"/>
      <c r="S37" s="40"/>
      <c r="T37" s="22"/>
      <c r="U37" s="40"/>
      <c r="V37" s="48"/>
      <c r="W37" s="40"/>
      <c r="Y37" s="40"/>
      <c r="Z37" s="40"/>
      <c r="AA37" s="53"/>
      <c r="AB37" s="40"/>
      <c r="AC37" s="48"/>
      <c r="AD37" s="22"/>
      <c r="AE37" s="40"/>
      <c r="AF37" s="40"/>
      <c r="AG37" s="40"/>
      <c r="AH37" s="40"/>
      <c r="AI37" s="21"/>
      <c r="AJ37" s="48"/>
      <c r="AK37" s="58"/>
      <c r="AL37" s="61"/>
    </row>
    <row r="38" spans="1:39" s="11" customFormat="1" ht="13.5" customHeight="1">
      <c r="A38" s="230"/>
      <c r="B38" s="22"/>
      <c r="C38" s="22"/>
      <c r="D38" s="40"/>
      <c r="E38" s="40"/>
      <c r="G38" s="40"/>
      <c r="H38" s="48"/>
      <c r="I38" s="40"/>
      <c r="J38" s="40"/>
      <c r="K38" s="40"/>
      <c r="L38" s="40"/>
      <c r="M38" s="40"/>
      <c r="N38" s="96" t="s">
        <v>1284</v>
      </c>
      <c r="O38" s="48"/>
      <c r="P38" s="40"/>
      <c r="Q38" s="40"/>
      <c r="R38" s="40"/>
      <c r="S38" s="40"/>
      <c r="T38" s="22"/>
      <c r="U38" s="40"/>
      <c r="V38" s="48"/>
      <c r="W38" s="40"/>
      <c r="Y38" s="40"/>
      <c r="AA38" s="53"/>
      <c r="AB38" s="40"/>
      <c r="AC38" s="48"/>
      <c r="AD38" s="50"/>
      <c r="AE38" s="50"/>
      <c r="AF38" s="40"/>
      <c r="AG38" s="40"/>
      <c r="AH38" s="40"/>
      <c r="AI38" s="21"/>
      <c r="AJ38" s="48"/>
      <c r="AL38" s="61"/>
    </row>
    <row r="39" spans="1:39" s="11" customFormat="1" ht="13.5" customHeight="1">
      <c r="A39" s="230"/>
      <c r="B39" s="22"/>
      <c r="C39" s="22"/>
      <c r="D39" s="40"/>
      <c r="E39" s="203"/>
      <c r="F39" s="40"/>
      <c r="G39" s="40"/>
      <c r="H39" s="48"/>
      <c r="I39" s="40"/>
      <c r="J39" s="40"/>
      <c r="K39" s="40"/>
      <c r="L39" s="40"/>
      <c r="M39" s="40"/>
      <c r="N39" s="96" t="s">
        <v>921</v>
      </c>
      <c r="O39" s="48"/>
      <c r="P39" s="40"/>
      <c r="Q39" s="40"/>
      <c r="R39" s="40"/>
      <c r="S39" s="40"/>
      <c r="T39" s="22"/>
      <c r="U39" s="40"/>
      <c r="V39" s="48"/>
      <c r="W39" s="40"/>
      <c r="X39" s="22"/>
      <c r="Y39" s="40"/>
      <c r="Z39" s="40"/>
      <c r="AA39" s="22"/>
      <c r="AB39" s="40"/>
      <c r="AC39" s="48"/>
      <c r="AD39" s="22"/>
      <c r="AE39" s="40"/>
      <c r="AF39" s="40"/>
      <c r="AG39" s="40"/>
      <c r="AH39" s="40"/>
      <c r="AI39" s="21"/>
      <c r="AJ39" s="48"/>
      <c r="AK39" s="58"/>
      <c r="AL39" s="61"/>
    </row>
    <row r="40" spans="1:39" s="11" customFormat="1" ht="13.5" customHeight="1">
      <c r="A40" s="230"/>
      <c r="B40" s="22"/>
      <c r="C40" s="22"/>
      <c r="D40" s="40"/>
      <c r="E40" s="40"/>
      <c r="F40" s="40"/>
      <c r="G40" s="40"/>
      <c r="H40" s="48"/>
      <c r="I40" s="40"/>
      <c r="J40" s="40"/>
      <c r="K40" s="53"/>
      <c r="L40" s="40"/>
      <c r="M40" s="40"/>
      <c r="N40" s="53" t="s">
        <v>401</v>
      </c>
      <c r="O40" s="48"/>
      <c r="P40" s="40"/>
      <c r="Q40" s="40"/>
      <c r="R40" s="40"/>
      <c r="T40" s="187"/>
      <c r="U40" s="40"/>
      <c r="V40" s="48"/>
      <c r="W40" s="40"/>
      <c r="X40" s="22"/>
      <c r="Y40" s="40"/>
      <c r="Z40" s="40"/>
      <c r="AA40" s="22"/>
      <c r="AB40" s="40"/>
      <c r="AC40" s="48"/>
      <c r="AD40" s="22"/>
      <c r="AE40" s="40"/>
      <c r="AF40" s="40"/>
      <c r="AG40" s="40"/>
      <c r="AH40" s="40"/>
      <c r="AI40" s="21"/>
      <c r="AJ40" s="48"/>
      <c r="AK40" s="58"/>
      <c r="AL40" s="61"/>
    </row>
    <row r="41" spans="1:39" s="11" customFormat="1" ht="13.5" customHeight="1">
      <c r="A41" s="230"/>
      <c r="B41" s="22"/>
      <c r="C41" s="22"/>
      <c r="D41" s="40"/>
      <c r="E41" s="40"/>
      <c r="F41" s="40"/>
      <c r="G41" s="21"/>
      <c r="H41" s="48"/>
      <c r="I41" s="40"/>
      <c r="J41" s="40"/>
      <c r="K41" s="53"/>
      <c r="L41" s="40"/>
      <c r="M41" s="40"/>
      <c r="N41" s="96" t="s">
        <v>922</v>
      </c>
      <c r="O41" s="48"/>
      <c r="P41" s="40"/>
      <c r="Q41" s="40"/>
      <c r="R41" s="40"/>
      <c r="S41" s="40"/>
      <c r="T41" s="40"/>
      <c r="U41" s="40"/>
      <c r="V41" s="48"/>
      <c r="W41" s="40"/>
      <c r="X41" s="40"/>
      <c r="Y41" s="40"/>
      <c r="Z41" s="40"/>
      <c r="AA41" s="40"/>
      <c r="AB41" s="40"/>
      <c r="AC41" s="48"/>
      <c r="AD41" s="22"/>
      <c r="AE41" s="42"/>
      <c r="AF41" s="40"/>
      <c r="AG41" s="40"/>
      <c r="AH41" s="40"/>
      <c r="AI41" s="21"/>
      <c r="AJ41" s="48"/>
      <c r="AK41" s="58"/>
      <c r="AL41" s="61"/>
    </row>
    <row r="42" spans="1:39" s="11" customFormat="1" ht="13.5" customHeight="1">
      <c r="A42" s="230"/>
      <c r="B42" s="22"/>
      <c r="C42" s="22"/>
      <c r="D42" s="40"/>
      <c r="E42" s="40"/>
      <c r="F42" s="40"/>
      <c r="G42" s="21"/>
      <c r="H42" s="48"/>
      <c r="I42" s="40"/>
      <c r="J42" s="40"/>
      <c r="K42" s="53"/>
      <c r="L42" s="40"/>
      <c r="M42" s="40"/>
      <c r="N42" s="96" t="s">
        <v>923</v>
      </c>
      <c r="O42" s="48"/>
      <c r="P42" s="40"/>
      <c r="Q42" s="40"/>
      <c r="R42" s="40"/>
      <c r="S42" s="40"/>
      <c r="T42" s="40"/>
      <c r="U42" s="40"/>
      <c r="V42" s="48"/>
      <c r="W42" s="40"/>
      <c r="X42" s="40"/>
      <c r="Y42" s="40"/>
      <c r="Z42" s="40"/>
      <c r="AA42" s="40"/>
      <c r="AB42" s="40"/>
      <c r="AC42" s="48"/>
      <c r="AD42" s="40"/>
      <c r="AE42" s="171"/>
      <c r="AF42" s="40"/>
      <c r="AG42" s="40"/>
      <c r="AH42" s="40"/>
      <c r="AI42" s="191"/>
      <c r="AJ42" s="48"/>
      <c r="AK42" s="58"/>
      <c r="AL42" s="61"/>
    </row>
    <row r="43" spans="1:39" s="11" customFormat="1" ht="13.5" customHeight="1">
      <c r="A43" s="230"/>
      <c r="B43" s="22"/>
      <c r="C43" s="22"/>
      <c r="D43" s="40"/>
      <c r="E43" s="40"/>
      <c r="F43" s="40"/>
      <c r="G43" s="21"/>
      <c r="H43" s="48"/>
      <c r="I43" s="40"/>
      <c r="J43" s="40"/>
      <c r="K43" s="53"/>
      <c r="L43" s="40"/>
      <c r="M43" s="40"/>
      <c r="O43" s="48"/>
      <c r="P43" s="40"/>
      <c r="Q43" s="40"/>
      <c r="R43" s="40"/>
      <c r="S43" s="40"/>
      <c r="T43" s="40"/>
      <c r="U43" s="40"/>
      <c r="V43" s="48"/>
      <c r="W43" s="40"/>
      <c r="X43" s="40"/>
      <c r="Y43" s="40"/>
      <c r="Z43" s="40"/>
      <c r="AA43" s="40"/>
      <c r="AB43" s="40"/>
      <c r="AC43" s="48"/>
      <c r="AD43" s="40"/>
      <c r="AE43" s="40"/>
      <c r="AF43" s="40"/>
      <c r="AG43" s="40"/>
      <c r="AH43" s="40"/>
      <c r="AI43" s="191"/>
      <c r="AJ43" s="48"/>
      <c r="AK43" s="58"/>
      <c r="AL43" s="61"/>
    </row>
    <row r="44" spans="1:39" s="11" customFormat="1" ht="13.5" customHeight="1">
      <c r="A44" s="230"/>
      <c r="B44" s="22"/>
      <c r="C44" s="22"/>
      <c r="D44" s="40"/>
      <c r="E44" s="40"/>
      <c r="F44" s="40"/>
      <c r="G44" s="21"/>
      <c r="H44" s="48"/>
      <c r="I44" s="40"/>
      <c r="J44" s="40"/>
      <c r="K44" s="53"/>
      <c r="M44" s="40"/>
      <c r="O44" s="48"/>
      <c r="P44" s="40"/>
      <c r="Q44" s="40"/>
      <c r="R44" s="40"/>
      <c r="S44" s="40"/>
      <c r="T44" s="40"/>
      <c r="U44" s="40"/>
      <c r="V44" s="48"/>
      <c r="W44" s="40"/>
      <c r="Y44" s="40"/>
      <c r="Z44" s="40"/>
      <c r="AA44" s="40"/>
      <c r="AB44" s="40"/>
      <c r="AC44" s="48"/>
      <c r="AD44" s="40"/>
      <c r="AE44" s="40"/>
      <c r="AF44" s="40"/>
      <c r="AG44" s="40"/>
      <c r="AH44" s="40"/>
      <c r="AI44" s="97" t="s">
        <v>1628</v>
      </c>
      <c r="AJ44" s="48"/>
      <c r="AK44" s="58"/>
      <c r="AL44" s="61"/>
    </row>
    <row r="45" spans="1:39" s="11" customFormat="1" ht="16.5" customHeight="1">
      <c r="A45" s="230"/>
      <c r="B45" s="24"/>
      <c r="C45" s="56"/>
      <c r="D45" s="24"/>
      <c r="E45" s="56"/>
      <c r="F45" s="24"/>
      <c r="G45" s="233">
        <f>6025+600+2630</f>
        <v>9255</v>
      </c>
      <c r="H45" s="234"/>
      <c r="I45" s="24"/>
      <c r="J45" s="24"/>
      <c r="K45" s="24"/>
      <c r="L45" s="24"/>
      <c r="M45" s="24"/>
      <c r="N45" s="233">
        <f>108+356+573+122+232+358+354+1120+300+647+2410+572+480+1599+1823</f>
        <v>11054</v>
      </c>
      <c r="O45" s="234"/>
      <c r="P45" s="56"/>
      <c r="Q45" s="24"/>
      <c r="R45" s="24"/>
      <c r="S45" s="24"/>
      <c r="T45" s="24"/>
      <c r="U45" s="24"/>
      <c r="V45" s="24"/>
      <c r="W45" s="24"/>
      <c r="X45" s="233">
        <f>1491+6810+2171+395+101+279+525+629+327+104+312+321</f>
        <v>13465</v>
      </c>
      <c r="Y45" s="234"/>
      <c r="Z45" s="24"/>
      <c r="AA45" s="24"/>
      <c r="AB45" s="24"/>
      <c r="AC45" s="24"/>
      <c r="AD45" s="24"/>
      <c r="AE45" s="24"/>
      <c r="AF45" s="24"/>
      <c r="AG45" s="24"/>
      <c r="AH45" s="242">
        <f>2016+322+236+774+167</f>
        <v>3515</v>
      </c>
      <c r="AI45" s="243"/>
      <c r="AJ45" s="56"/>
      <c r="AK45" s="24"/>
      <c r="AL45" s="24"/>
    </row>
    <row r="46" spans="1:39" s="11" customFormat="1" ht="2.25" customHeight="1">
      <c r="A46" s="199"/>
      <c r="B46" s="27"/>
      <c r="C46" s="27"/>
      <c r="D46" s="27"/>
      <c r="E46" s="28"/>
      <c r="F46" s="27"/>
      <c r="G46" s="27"/>
      <c r="H46" s="29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30"/>
    </row>
    <row r="47" spans="1:39" s="11" customFormat="1" ht="19.5" customHeight="1">
      <c r="A47" s="12" t="s">
        <v>0</v>
      </c>
      <c r="B47" s="16"/>
      <c r="C47" s="16"/>
      <c r="D47" s="16"/>
      <c r="E47" s="16"/>
      <c r="F47" s="16"/>
      <c r="G47" s="16">
        <v>640</v>
      </c>
      <c r="H47" s="25"/>
      <c r="I47" s="16">
        <v>1080</v>
      </c>
      <c r="J47" s="16">
        <v>1490</v>
      </c>
      <c r="K47" s="16">
        <v>1490</v>
      </c>
      <c r="L47" s="16">
        <v>1490</v>
      </c>
      <c r="M47" s="16">
        <v>1490</v>
      </c>
      <c r="N47" s="16">
        <v>1080</v>
      </c>
      <c r="O47" s="25"/>
      <c r="P47" s="16">
        <v>1080</v>
      </c>
      <c r="Q47" s="16">
        <v>1280</v>
      </c>
      <c r="R47" s="16">
        <v>1490</v>
      </c>
      <c r="S47" s="16">
        <v>1190</v>
      </c>
      <c r="T47" s="16">
        <v>1490</v>
      </c>
      <c r="U47" s="16">
        <v>1280</v>
      </c>
      <c r="V47" s="25"/>
      <c r="W47" s="16">
        <v>1330</v>
      </c>
      <c r="X47" s="16">
        <v>1120</v>
      </c>
      <c r="Y47" s="16">
        <v>1120</v>
      </c>
      <c r="Z47" s="16">
        <v>1120</v>
      </c>
      <c r="AA47" s="16">
        <v>1120</v>
      </c>
      <c r="AB47" s="16">
        <v>1120</v>
      </c>
      <c r="AC47" s="25"/>
      <c r="AD47" s="16">
        <v>1120</v>
      </c>
      <c r="AE47" s="16">
        <v>1120</v>
      </c>
      <c r="AF47" s="16">
        <v>1120</v>
      </c>
      <c r="AG47" s="16">
        <v>1120</v>
      </c>
      <c r="AH47" s="51">
        <v>1120</v>
      </c>
      <c r="AI47" s="16">
        <v>1120</v>
      </c>
      <c r="AJ47" s="25"/>
      <c r="AK47" s="16">
        <v>1120</v>
      </c>
      <c r="AL47" s="16">
        <v>1120</v>
      </c>
      <c r="AM47" s="17">
        <f>+SUM(B47:AL47)</f>
        <v>32460</v>
      </c>
    </row>
    <row r="48" spans="1:39" s="17" customFormat="1" ht="19.5" customHeight="1">
      <c r="A48" s="12" t="s">
        <v>18</v>
      </c>
      <c r="B48" s="122">
        <v>11</v>
      </c>
      <c r="C48" s="122">
        <v>11</v>
      </c>
      <c r="D48" s="122">
        <v>11</v>
      </c>
      <c r="E48" s="122">
        <v>11</v>
      </c>
      <c r="F48" s="122">
        <v>8</v>
      </c>
      <c r="G48" s="122">
        <v>8</v>
      </c>
      <c r="H48" s="25"/>
      <c r="I48" s="18">
        <v>11</v>
      </c>
      <c r="J48" s="18">
        <v>11</v>
      </c>
      <c r="K48" s="18">
        <v>11</v>
      </c>
      <c r="L48" s="18">
        <v>11</v>
      </c>
      <c r="M48" s="18">
        <v>8</v>
      </c>
      <c r="N48" s="18">
        <v>8</v>
      </c>
      <c r="O48" s="25"/>
      <c r="P48" s="18">
        <v>9.5</v>
      </c>
      <c r="Q48" s="18">
        <v>11</v>
      </c>
      <c r="R48" s="18">
        <v>9.5</v>
      </c>
      <c r="S48" s="18">
        <v>11</v>
      </c>
      <c r="T48" s="18">
        <v>9.5</v>
      </c>
      <c r="U48" s="18">
        <v>9.5</v>
      </c>
      <c r="V48" s="25"/>
      <c r="W48" s="18">
        <v>8</v>
      </c>
      <c r="X48" s="18">
        <v>8</v>
      </c>
      <c r="Y48" s="18">
        <v>8</v>
      </c>
      <c r="Z48" s="18">
        <v>8</v>
      </c>
      <c r="AA48" s="18">
        <v>8</v>
      </c>
      <c r="AB48" s="18">
        <v>8</v>
      </c>
      <c r="AC48" s="25"/>
      <c r="AD48" s="18">
        <v>8</v>
      </c>
      <c r="AE48" s="18">
        <v>8</v>
      </c>
      <c r="AF48" s="18">
        <v>8</v>
      </c>
      <c r="AG48" s="18">
        <v>8</v>
      </c>
      <c r="AH48" s="18">
        <v>8</v>
      </c>
      <c r="AI48" s="18">
        <v>8</v>
      </c>
      <c r="AJ48" s="25"/>
      <c r="AK48" s="18">
        <v>8</v>
      </c>
      <c r="AL48" s="18">
        <v>8</v>
      </c>
    </row>
    <row r="49" spans="1:38" s="17" customFormat="1" ht="17.25" customHeight="1">
      <c r="A49" s="2" t="s">
        <v>19</v>
      </c>
      <c r="B49" s="41"/>
      <c r="C49" s="41"/>
      <c r="D49" s="41"/>
      <c r="E49" s="41"/>
      <c r="F49" s="41"/>
      <c r="G49" s="88" t="s">
        <v>70</v>
      </c>
      <c r="H49" s="25"/>
      <c r="I49" s="120" t="s">
        <v>317</v>
      </c>
      <c r="J49" s="41"/>
      <c r="K49" s="41"/>
      <c r="L49" s="120" t="s">
        <v>317</v>
      </c>
      <c r="M49" s="121"/>
      <c r="N49" s="121"/>
      <c r="O49" s="25"/>
      <c r="P49" s="121"/>
      <c r="Q49" s="121"/>
      <c r="R49" s="121"/>
      <c r="S49" s="121"/>
      <c r="T49" s="121"/>
      <c r="U49" s="121"/>
      <c r="V49" s="25"/>
      <c r="W49" s="120" t="s">
        <v>98</v>
      </c>
      <c r="X49" s="41"/>
      <c r="Y49" s="41"/>
      <c r="Z49" s="41"/>
      <c r="AA49" s="41"/>
      <c r="AB49" s="41"/>
      <c r="AC49" s="25"/>
      <c r="AD49" s="41"/>
      <c r="AE49" s="41"/>
      <c r="AF49" s="41"/>
      <c r="AG49" s="41"/>
      <c r="AH49" s="41"/>
      <c r="AI49" s="41"/>
      <c r="AJ49" s="25"/>
      <c r="AK49" s="41"/>
      <c r="AL49" s="173"/>
    </row>
    <row r="50" spans="1:38" s="17" customFormat="1" ht="17.25" customHeight="1">
      <c r="A50" s="2" t="s">
        <v>20</v>
      </c>
      <c r="B50" s="20"/>
      <c r="C50" s="20"/>
      <c r="D50" s="20"/>
      <c r="E50" s="20"/>
      <c r="F50" s="20"/>
      <c r="G50" s="20"/>
      <c r="H50" s="25"/>
      <c r="I50" s="20"/>
      <c r="J50" s="20"/>
      <c r="K50" s="20"/>
      <c r="L50" s="20"/>
      <c r="M50" s="20"/>
      <c r="N50" s="20"/>
      <c r="O50" s="25"/>
      <c r="P50" s="20"/>
      <c r="Q50" s="20"/>
      <c r="R50" s="20"/>
      <c r="S50" s="20"/>
      <c r="T50" s="20"/>
      <c r="U50" s="20"/>
      <c r="V50" s="25"/>
      <c r="W50" s="20"/>
      <c r="X50" s="20"/>
      <c r="Y50" s="20"/>
      <c r="Z50" s="20"/>
      <c r="AA50" s="20"/>
      <c r="AB50" s="20"/>
      <c r="AC50" s="25"/>
      <c r="AD50" s="20"/>
      <c r="AE50" s="20"/>
      <c r="AF50" s="20"/>
      <c r="AG50" s="20"/>
      <c r="AH50" s="20"/>
      <c r="AI50" s="20"/>
      <c r="AJ50" s="25"/>
      <c r="AK50" s="20"/>
      <c r="AL50" s="169"/>
    </row>
    <row r="51" spans="1:38" s="11" customFormat="1" ht="12" customHeight="1">
      <c r="A51" s="229" t="s">
        <v>34</v>
      </c>
      <c r="B51" s="46"/>
      <c r="C51" s="49"/>
      <c r="D51" s="40"/>
      <c r="E51" s="47"/>
      <c r="F51" s="50"/>
      <c r="G51" s="203" t="s">
        <v>671</v>
      </c>
      <c r="H51" s="48"/>
      <c r="I51" s="40"/>
      <c r="J51" s="47"/>
      <c r="L51" s="50" t="s">
        <v>626</v>
      </c>
      <c r="M51" s="40"/>
      <c r="N51" s="47"/>
      <c r="O51" s="48"/>
      <c r="P51" s="40"/>
      <c r="Q51" s="40"/>
      <c r="S51" s="50" t="s">
        <v>626</v>
      </c>
      <c r="T51" s="40"/>
      <c r="U51" s="40"/>
      <c r="V51" s="48"/>
      <c r="W51" s="50"/>
      <c r="X51" s="50"/>
      <c r="Y51" s="40"/>
      <c r="Z51" s="40"/>
      <c r="AA51" s="50" t="s">
        <v>626</v>
      </c>
      <c r="AB51" s="50"/>
      <c r="AC51" s="48"/>
      <c r="AD51" s="40"/>
      <c r="AE51" s="40"/>
      <c r="AF51" s="40"/>
      <c r="AG51" s="40"/>
      <c r="AH51" s="50"/>
      <c r="AI51" s="47"/>
      <c r="AJ51" s="48"/>
      <c r="AK51" s="62"/>
      <c r="AL51" s="61"/>
    </row>
    <row r="52" spans="1:38" s="11" customFormat="1" ht="12" customHeight="1">
      <c r="A52" s="230"/>
      <c r="B52" s="22"/>
      <c r="C52" s="22"/>
      <c r="D52" s="40"/>
      <c r="E52" s="21"/>
      <c r="F52" s="22"/>
      <c r="G52" s="171" t="s">
        <v>1502</v>
      </c>
      <c r="H52" s="48"/>
      <c r="I52" s="40"/>
      <c r="J52" s="21"/>
      <c r="K52" s="40"/>
      <c r="L52" s="22" t="s">
        <v>644</v>
      </c>
      <c r="M52" s="40"/>
      <c r="N52" s="21"/>
      <c r="O52" s="48"/>
      <c r="P52" s="40"/>
      <c r="Q52" s="40"/>
      <c r="R52" s="40"/>
      <c r="S52" s="22" t="s">
        <v>1232</v>
      </c>
      <c r="T52" s="40"/>
      <c r="U52" s="40"/>
      <c r="V52" s="48"/>
      <c r="W52" s="22"/>
      <c r="X52" s="40"/>
      <c r="Y52" s="40"/>
      <c r="Z52" s="40"/>
      <c r="AA52" s="22" t="s">
        <v>699</v>
      </c>
      <c r="AB52" s="22"/>
      <c r="AC52" s="48"/>
      <c r="AD52" s="40"/>
      <c r="AE52" s="40"/>
      <c r="AF52" s="40"/>
      <c r="AG52" s="40"/>
      <c r="AH52" s="22"/>
      <c r="AI52" s="21"/>
      <c r="AJ52" s="48"/>
      <c r="AK52" s="58"/>
      <c r="AL52" s="61"/>
    </row>
    <row r="53" spans="1:38" s="11" customFormat="1" ht="12" customHeight="1">
      <c r="A53" s="230"/>
      <c r="B53" s="22"/>
      <c r="C53" s="22"/>
      <c r="D53" s="40"/>
      <c r="E53" s="21"/>
      <c r="F53" s="22"/>
      <c r="G53" s="171" t="s">
        <v>1503</v>
      </c>
      <c r="H53" s="48"/>
      <c r="I53" s="40"/>
      <c r="J53" s="21"/>
      <c r="K53" s="40"/>
      <c r="L53" s="22" t="s">
        <v>645</v>
      </c>
      <c r="M53" s="40"/>
      <c r="N53" s="21"/>
      <c r="O53" s="48"/>
      <c r="P53" s="40"/>
      <c r="Q53" s="40"/>
      <c r="R53" s="40"/>
      <c r="S53" s="50" t="s">
        <v>689</v>
      </c>
      <c r="T53" s="40"/>
      <c r="U53" s="40"/>
      <c r="V53" s="48"/>
      <c r="W53" s="22"/>
      <c r="X53" s="40"/>
      <c r="Y53" s="40"/>
      <c r="Z53" s="40"/>
      <c r="AA53" s="22" t="s">
        <v>700</v>
      </c>
      <c r="AB53" s="172"/>
      <c r="AC53" s="48"/>
      <c r="AD53" s="40"/>
      <c r="AE53" s="22"/>
      <c r="AF53" s="40"/>
      <c r="AG53" s="40"/>
      <c r="AH53" s="165"/>
      <c r="AI53" s="21"/>
      <c r="AJ53" s="48"/>
      <c r="AK53" s="58"/>
      <c r="AL53" s="61"/>
    </row>
    <row r="54" spans="1:38" s="11" customFormat="1" ht="12" customHeight="1">
      <c r="A54" s="230"/>
      <c r="B54" s="22"/>
      <c r="C54" s="55"/>
      <c r="D54" s="40"/>
      <c r="E54" s="21"/>
      <c r="F54" s="22"/>
      <c r="G54" s="203" t="s">
        <v>626</v>
      </c>
      <c r="H54" s="48"/>
      <c r="I54" s="40"/>
      <c r="J54" s="21"/>
      <c r="K54" s="40"/>
      <c r="L54" s="172" t="s">
        <v>640</v>
      </c>
      <c r="M54" s="40"/>
      <c r="N54" s="21"/>
      <c r="O54" s="48"/>
      <c r="P54" s="40"/>
      <c r="Q54" s="40"/>
      <c r="R54" s="40"/>
      <c r="S54" s="22" t="s">
        <v>690</v>
      </c>
      <c r="T54" s="40"/>
      <c r="U54" s="40"/>
      <c r="V54" s="48"/>
      <c r="W54" s="50"/>
      <c r="X54" s="40"/>
      <c r="Y54" s="40"/>
      <c r="Z54" s="40"/>
      <c r="AA54" s="172" t="s">
        <v>1245</v>
      </c>
      <c r="AB54" s="105"/>
      <c r="AC54" s="48"/>
      <c r="AD54" s="40"/>
      <c r="AE54" s="22"/>
      <c r="AF54" s="40"/>
      <c r="AG54" s="40"/>
      <c r="AH54" s="50"/>
      <c r="AI54" s="21"/>
      <c r="AJ54" s="48"/>
      <c r="AK54" s="58"/>
      <c r="AL54" s="61"/>
    </row>
    <row r="55" spans="1:38" s="11" customFormat="1" ht="12" customHeight="1">
      <c r="A55" s="230"/>
      <c r="B55" s="22"/>
      <c r="C55" s="22"/>
      <c r="D55" s="40"/>
      <c r="E55" s="22"/>
      <c r="F55" s="22"/>
      <c r="G55" s="196" t="s">
        <v>1504</v>
      </c>
      <c r="H55" s="48"/>
      <c r="I55" s="40"/>
      <c r="J55" s="21"/>
      <c r="K55" s="40"/>
      <c r="L55" s="22" t="s">
        <v>646</v>
      </c>
      <c r="M55" s="40"/>
      <c r="N55" s="21"/>
      <c r="O55" s="48"/>
      <c r="P55" s="40"/>
      <c r="Q55" s="40"/>
      <c r="R55" s="40"/>
      <c r="S55" s="22" t="s">
        <v>691</v>
      </c>
      <c r="T55" s="40"/>
      <c r="U55" s="40"/>
      <c r="V55" s="48"/>
      <c r="W55" s="22"/>
      <c r="X55" s="40"/>
      <c r="Y55" s="40"/>
      <c r="Z55" s="40"/>
      <c r="AA55" s="187" t="s">
        <v>1642</v>
      </c>
      <c r="AB55" s="22"/>
      <c r="AC55" s="48"/>
      <c r="AD55" s="40"/>
      <c r="AE55" s="22"/>
      <c r="AF55" s="40"/>
      <c r="AG55" s="40"/>
      <c r="AH55" s="100"/>
      <c r="AI55" s="21"/>
      <c r="AJ55" s="48"/>
      <c r="AK55" s="58"/>
      <c r="AL55" s="61"/>
    </row>
    <row r="56" spans="1:38" s="11" customFormat="1" ht="12" customHeight="1">
      <c r="A56" s="230"/>
      <c r="B56" s="22"/>
      <c r="C56" s="22"/>
      <c r="D56" s="40"/>
      <c r="E56" s="22"/>
      <c r="F56" s="22"/>
      <c r="G56" s="194" t="s">
        <v>1507</v>
      </c>
      <c r="H56" s="48"/>
      <c r="I56" s="40"/>
      <c r="J56" s="21"/>
      <c r="K56" s="40"/>
      <c r="L56" s="172" t="s">
        <v>641</v>
      </c>
      <c r="M56" s="40"/>
      <c r="N56" s="21"/>
      <c r="O56" s="48"/>
      <c r="P56" s="40"/>
      <c r="Q56" s="40"/>
      <c r="R56" s="40"/>
      <c r="S56" s="50" t="s">
        <v>626</v>
      </c>
      <c r="T56" s="40"/>
      <c r="U56" s="40"/>
      <c r="V56" s="48"/>
      <c r="W56" s="22"/>
      <c r="X56" s="40"/>
      <c r="Y56" s="40"/>
      <c r="Z56" s="40"/>
      <c r="AA56" s="22" t="s">
        <v>1088</v>
      </c>
      <c r="AB56" s="22"/>
      <c r="AC56" s="48"/>
      <c r="AD56" s="40"/>
      <c r="AE56" s="22"/>
      <c r="AF56" s="40"/>
      <c r="AG56" s="40"/>
      <c r="AH56" s="22"/>
      <c r="AI56" s="21"/>
      <c r="AJ56" s="48"/>
      <c r="AK56" s="58"/>
      <c r="AL56" s="61"/>
    </row>
    <row r="57" spans="1:38" s="11" customFormat="1" ht="12" customHeight="1">
      <c r="A57" s="230"/>
      <c r="B57" s="22"/>
      <c r="C57" s="22"/>
      <c r="D57" s="40"/>
      <c r="E57" s="22"/>
      <c r="F57" s="22"/>
      <c r="G57" s="194" t="s">
        <v>1508</v>
      </c>
      <c r="H57" s="48"/>
      <c r="I57" s="40"/>
      <c r="J57" s="21"/>
      <c r="K57" s="40"/>
      <c r="L57" s="172" t="s">
        <v>642</v>
      </c>
      <c r="M57" s="40"/>
      <c r="N57" s="21"/>
      <c r="O57" s="48"/>
      <c r="P57" s="40"/>
      <c r="Q57" s="40"/>
      <c r="R57" s="40"/>
      <c r="S57" s="172" t="s">
        <v>676</v>
      </c>
      <c r="T57" s="40"/>
      <c r="U57" s="40"/>
      <c r="V57" s="48"/>
      <c r="W57" s="22"/>
      <c r="X57" s="40"/>
      <c r="Y57" s="40"/>
      <c r="Z57" s="40"/>
      <c r="AA57" s="22" t="s">
        <v>1089</v>
      </c>
      <c r="AB57" s="172"/>
      <c r="AC57" s="48"/>
      <c r="AD57" s="40"/>
      <c r="AE57" s="40"/>
      <c r="AF57" s="40"/>
      <c r="AG57" s="40"/>
      <c r="AH57" s="22"/>
      <c r="AI57" s="21"/>
      <c r="AJ57" s="48"/>
      <c r="AK57" s="58"/>
      <c r="AL57" s="61"/>
    </row>
    <row r="58" spans="1:38" s="11" customFormat="1" ht="12" customHeight="1">
      <c r="A58" s="230"/>
      <c r="B58" s="22"/>
      <c r="C58" s="22"/>
      <c r="D58" s="40"/>
      <c r="E58" s="22"/>
      <c r="F58" s="22"/>
      <c r="G58" s="194" t="s">
        <v>1505</v>
      </c>
      <c r="H58" s="48"/>
      <c r="I58" s="40"/>
      <c r="J58" s="21"/>
      <c r="K58" s="40"/>
      <c r="L58" s="22" t="s">
        <v>631</v>
      </c>
      <c r="M58" s="40"/>
      <c r="N58" s="21"/>
      <c r="O58" s="48"/>
      <c r="P58" s="40"/>
      <c r="Q58" s="40"/>
      <c r="R58" s="40"/>
      <c r="S58" s="172" t="s">
        <v>677</v>
      </c>
      <c r="T58" s="40"/>
      <c r="U58" s="40"/>
      <c r="V58" s="48"/>
      <c r="W58" s="22"/>
      <c r="X58" s="40"/>
      <c r="Y58" s="40"/>
      <c r="Z58" s="40"/>
      <c r="AA58" s="172" t="s">
        <v>1245</v>
      </c>
      <c r="AB58" s="105"/>
      <c r="AC58" s="48"/>
      <c r="AD58" s="40"/>
      <c r="AE58" s="40"/>
      <c r="AF58" s="40"/>
      <c r="AG58" s="40"/>
      <c r="AH58" s="40"/>
      <c r="AI58" s="21"/>
      <c r="AJ58" s="48"/>
      <c r="AK58" s="40"/>
      <c r="AL58" s="61"/>
    </row>
    <row r="59" spans="1:38" s="11" customFormat="1" ht="12" customHeight="1">
      <c r="A59" s="230"/>
      <c r="B59" s="22"/>
      <c r="C59" s="22"/>
      <c r="D59" s="40"/>
      <c r="E59" s="22"/>
      <c r="F59" s="22"/>
      <c r="G59" s="194" t="s">
        <v>1506</v>
      </c>
      <c r="H59" s="48"/>
      <c r="I59" s="40"/>
      <c r="J59" s="21"/>
      <c r="K59" s="40"/>
      <c r="L59" s="22" t="s">
        <v>632</v>
      </c>
      <c r="M59" s="40"/>
      <c r="N59" s="21"/>
      <c r="O59" s="48"/>
      <c r="P59" s="40"/>
      <c r="Q59" s="40"/>
      <c r="R59" s="40"/>
      <c r="S59" s="172" t="s">
        <v>678</v>
      </c>
      <c r="T59" s="40"/>
      <c r="U59" s="40"/>
      <c r="V59" s="48"/>
      <c r="W59" s="22"/>
      <c r="X59" s="40"/>
      <c r="Y59" s="40"/>
      <c r="Z59" s="40"/>
      <c r="AA59" s="187" t="s">
        <v>1640</v>
      </c>
      <c r="AB59" s="50"/>
      <c r="AC59" s="48"/>
      <c r="AD59" s="40"/>
      <c r="AE59" s="40"/>
      <c r="AF59" s="40"/>
      <c r="AG59" s="40"/>
      <c r="AH59" s="22"/>
      <c r="AI59" s="21"/>
      <c r="AJ59" s="48"/>
      <c r="AK59" s="40"/>
      <c r="AL59" s="61"/>
    </row>
    <row r="60" spans="1:38" s="11" customFormat="1" ht="12" customHeight="1">
      <c r="A60" s="230"/>
      <c r="B60" s="22"/>
      <c r="C60" s="22"/>
      <c r="D60" s="40"/>
      <c r="E60" s="22"/>
      <c r="F60" s="22"/>
      <c r="G60" s="195" t="s">
        <v>1365</v>
      </c>
      <c r="H60" s="48"/>
      <c r="I60" s="40"/>
      <c r="J60" s="21"/>
      <c r="K60" s="40"/>
      <c r="L60" s="172" t="s">
        <v>643</v>
      </c>
      <c r="M60" s="40"/>
      <c r="N60" s="21"/>
      <c r="O60" s="48"/>
      <c r="P60" s="40"/>
      <c r="Q60" s="40"/>
      <c r="R60" s="40"/>
      <c r="S60" s="22" t="s">
        <v>1226</v>
      </c>
      <c r="T60" s="40"/>
      <c r="U60" s="40"/>
      <c r="V60" s="48"/>
      <c r="W60" s="22"/>
      <c r="X60" s="40"/>
      <c r="Y60" s="40"/>
      <c r="Z60" s="40"/>
      <c r="AA60" s="171" t="s">
        <v>1243</v>
      </c>
      <c r="AB60" s="22"/>
      <c r="AC60" s="48"/>
      <c r="AD60" s="40"/>
      <c r="AE60" s="40"/>
      <c r="AF60" s="40"/>
      <c r="AG60" s="40"/>
      <c r="AH60" s="22"/>
      <c r="AI60" s="21"/>
      <c r="AJ60" s="48"/>
      <c r="AK60" s="58"/>
      <c r="AL60" s="61"/>
    </row>
    <row r="61" spans="1:38" s="11" customFormat="1" ht="12" customHeight="1">
      <c r="A61" s="230"/>
      <c r="B61" s="91"/>
      <c r="C61" s="22"/>
      <c r="D61" s="40"/>
      <c r="E61" s="22"/>
      <c r="F61" s="22"/>
      <c r="G61" s="21"/>
      <c r="H61" s="48"/>
      <c r="I61" s="40"/>
      <c r="J61" s="21"/>
      <c r="K61" s="40"/>
      <c r="L61" s="22" t="s">
        <v>655</v>
      </c>
      <c r="M61" s="40"/>
      <c r="N61" s="21"/>
      <c r="O61" s="48"/>
      <c r="P61" s="40"/>
      <c r="Q61" s="40"/>
      <c r="R61" s="40"/>
      <c r="S61" s="22" t="s">
        <v>918</v>
      </c>
      <c r="T61" s="40"/>
      <c r="U61" s="40"/>
      <c r="V61" s="48"/>
      <c r="W61" s="22"/>
      <c r="X61" s="40"/>
      <c r="Y61" s="40"/>
      <c r="Z61" s="40"/>
      <c r="AA61" s="187" t="s">
        <v>1640</v>
      </c>
      <c r="AB61" s="174"/>
      <c r="AC61" s="48"/>
      <c r="AD61" s="40"/>
      <c r="AE61" s="40"/>
      <c r="AF61" s="40"/>
      <c r="AG61" s="40"/>
      <c r="AH61" s="22"/>
      <c r="AI61" s="21"/>
      <c r="AJ61" s="48"/>
      <c r="AK61" s="156"/>
      <c r="AL61" s="61"/>
    </row>
    <row r="62" spans="1:38" s="11" customFormat="1" ht="12" customHeight="1">
      <c r="A62" s="230"/>
      <c r="B62" s="91"/>
      <c r="C62" s="22"/>
      <c r="D62" s="40"/>
      <c r="E62" s="22"/>
      <c r="F62" s="22"/>
      <c r="G62" s="21"/>
      <c r="H62" s="48"/>
      <c r="I62" s="40"/>
      <c r="J62" s="21"/>
      <c r="K62" s="40"/>
      <c r="L62" s="22" t="s">
        <v>656</v>
      </c>
      <c r="M62" s="40"/>
      <c r="N62" s="21"/>
      <c r="O62" s="48"/>
      <c r="P62" s="40"/>
      <c r="Q62" s="40"/>
      <c r="R62" s="40"/>
      <c r="S62" s="50" t="s">
        <v>626</v>
      </c>
      <c r="T62" s="40"/>
      <c r="U62" s="40"/>
      <c r="V62" s="48"/>
      <c r="W62" s="22"/>
      <c r="X62" s="40"/>
      <c r="Y62" s="40"/>
      <c r="Z62" s="40"/>
      <c r="AA62" s="172" t="s">
        <v>1246</v>
      </c>
      <c r="AB62" s="50"/>
      <c r="AC62" s="48"/>
      <c r="AD62" s="40"/>
      <c r="AE62" s="40"/>
      <c r="AF62" s="40"/>
      <c r="AG62" s="40"/>
      <c r="AH62" s="22"/>
      <c r="AI62" s="40"/>
      <c r="AJ62" s="48"/>
      <c r="AK62" s="156"/>
      <c r="AL62" s="61"/>
    </row>
    <row r="63" spans="1:38" s="11" customFormat="1" ht="12" customHeight="1">
      <c r="A63" s="230"/>
      <c r="B63" s="91"/>
      <c r="C63" s="22"/>
      <c r="D63" s="40"/>
      <c r="E63" s="22"/>
      <c r="F63" s="22"/>
      <c r="G63" s="21"/>
      <c r="H63" s="48"/>
      <c r="I63" s="40"/>
      <c r="J63" s="21"/>
      <c r="K63" s="40"/>
      <c r="L63" s="172" t="s">
        <v>638</v>
      </c>
      <c r="M63" s="40"/>
      <c r="N63" s="21"/>
      <c r="O63" s="48"/>
      <c r="P63" s="40"/>
      <c r="Q63" s="40"/>
      <c r="R63" s="40"/>
      <c r="S63" s="172" t="s">
        <v>679</v>
      </c>
      <c r="T63" s="40"/>
      <c r="U63" s="40"/>
      <c r="V63" s="48"/>
      <c r="W63" s="22"/>
      <c r="X63" s="40"/>
      <c r="Y63" s="40"/>
      <c r="Z63" s="40"/>
      <c r="AA63" s="187" t="s">
        <v>1640</v>
      </c>
      <c r="AB63" s="172"/>
      <c r="AC63" s="48"/>
      <c r="AD63" s="40"/>
      <c r="AE63" s="40"/>
      <c r="AF63" s="40"/>
      <c r="AG63" s="40"/>
      <c r="AH63" s="50"/>
      <c r="AI63" s="40"/>
      <c r="AJ63" s="48"/>
      <c r="AK63" s="156"/>
      <c r="AL63" s="61"/>
    </row>
    <row r="64" spans="1:38" s="11" customFormat="1" ht="12" customHeight="1">
      <c r="A64" s="230"/>
      <c r="B64" s="168" t="s">
        <v>1316</v>
      </c>
      <c r="C64" s="22"/>
      <c r="D64" s="40"/>
      <c r="E64" s="21"/>
      <c r="F64" s="22"/>
      <c r="G64" s="21"/>
      <c r="H64" s="48"/>
      <c r="I64" s="40"/>
      <c r="J64" s="21"/>
      <c r="K64" s="40"/>
      <c r="L64" s="172" t="s">
        <v>639</v>
      </c>
      <c r="M64" s="40"/>
      <c r="N64" s="21"/>
      <c r="O64" s="48"/>
      <c r="P64" s="40"/>
      <c r="Q64" s="40"/>
      <c r="R64" s="40"/>
      <c r="S64" s="22" t="s">
        <v>696</v>
      </c>
      <c r="T64" s="40"/>
      <c r="U64" s="40"/>
      <c r="V64" s="48"/>
      <c r="W64" s="22"/>
      <c r="X64" s="40"/>
      <c r="Y64" s="40"/>
      <c r="Z64" s="40"/>
      <c r="AA64" s="171" t="s">
        <v>1243</v>
      </c>
      <c r="AB64" s="105"/>
      <c r="AC64" s="48"/>
      <c r="AD64" s="40"/>
      <c r="AE64" s="40"/>
      <c r="AF64" s="50"/>
      <c r="AG64" s="40"/>
      <c r="AH64" s="40"/>
      <c r="AI64" s="40"/>
      <c r="AJ64" s="48"/>
      <c r="AK64" s="156"/>
      <c r="AL64" s="61"/>
    </row>
    <row r="65" spans="1:38" s="11" customFormat="1" ht="12" customHeight="1">
      <c r="A65" s="230"/>
      <c r="B65" s="91"/>
      <c r="C65" s="22"/>
      <c r="D65" s="40"/>
      <c r="E65" s="21"/>
      <c r="F65" s="22"/>
      <c r="G65" s="21"/>
      <c r="H65" s="48"/>
      <c r="I65" s="40"/>
      <c r="J65" s="21"/>
      <c r="K65" s="40"/>
      <c r="L65" s="22" t="s">
        <v>662</v>
      </c>
      <c r="M65" s="40"/>
      <c r="N65" s="21"/>
      <c r="O65" s="48"/>
      <c r="P65" s="40"/>
      <c r="Q65" s="40"/>
      <c r="R65" s="40"/>
      <c r="S65" s="22" t="s">
        <v>701</v>
      </c>
      <c r="T65" s="40"/>
      <c r="U65" s="40"/>
      <c r="V65" s="48"/>
      <c r="W65" s="22"/>
      <c r="X65" s="40"/>
      <c r="Y65" s="40"/>
      <c r="Z65" s="40"/>
      <c r="AA65" s="187" t="s">
        <v>1643</v>
      </c>
      <c r="AB65" s="22"/>
      <c r="AC65" s="48"/>
      <c r="AD65" s="40"/>
      <c r="AE65" s="40"/>
      <c r="AF65" s="40"/>
      <c r="AG65" s="40"/>
      <c r="AH65" s="40"/>
      <c r="AI65" s="40"/>
      <c r="AJ65" s="48"/>
      <c r="AK65" s="156"/>
      <c r="AL65" s="61"/>
    </row>
    <row r="66" spans="1:38" s="11" customFormat="1" ht="12" customHeight="1">
      <c r="A66" s="230"/>
      <c r="B66" s="91"/>
      <c r="C66" s="22"/>
      <c r="D66" s="40"/>
      <c r="E66" s="40"/>
      <c r="F66" s="22"/>
      <c r="G66" s="21"/>
      <c r="H66" s="48"/>
      <c r="I66" s="40"/>
      <c r="J66" s="21"/>
      <c r="K66" s="40"/>
      <c r="L66" s="22" t="s">
        <v>663</v>
      </c>
      <c r="M66" s="40"/>
      <c r="N66" s="21"/>
      <c r="O66" s="48"/>
      <c r="P66" s="40"/>
      <c r="Q66" s="40"/>
      <c r="R66" s="40"/>
      <c r="S66" s="22" t="s">
        <v>705</v>
      </c>
      <c r="T66" s="40"/>
      <c r="U66" s="21"/>
      <c r="V66" s="48"/>
      <c r="W66" s="22"/>
      <c r="X66" s="40"/>
      <c r="Y66" s="40"/>
      <c r="Z66" s="40"/>
      <c r="AA66" s="22" t="s">
        <v>1090</v>
      </c>
      <c r="AB66" s="22"/>
      <c r="AC66" s="48"/>
      <c r="AD66" s="40"/>
      <c r="AE66" s="40"/>
      <c r="AF66" s="40"/>
      <c r="AG66" s="40"/>
      <c r="AH66" s="40"/>
      <c r="AI66" s="40"/>
      <c r="AJ66" s="48"/>
      <c r="AK66" s="156"/>
      <c r="AL66" s="61"/>
    </row>
    <row r="67" spans="1:38" s="11" customFormat="1" ht="12" customHeight="1">
      <c r="A67" s="230"/>
      <c r="B67" s="91"/>
      <c r="C67" s="22"/>
      <c r="D67" s="40"/>
      <c r="E67" s="40"/>
      <c r="F67" s="22"/>
      <c r="G67" s="21"/>
      <c r="H67" s="48"/>
      <c r="I67" s="40"/>
      <c r="J67" s="21"/>
      <c r="K67" s="40"/>
      <c r="L67" s="50" t="s">
        <v>1231</v>
      </c>
      <c r="M67" s="40"/>
      <c r="N67" s="21"/>
      <c r="O67" s="48"/>
      <c r="P67" s="40"/>
      <c r="Q67" s="40"/>
      <c r="R67" s="40"/>
      <c r="S67" s="172" t="s">
        <v>1244</v>
      </c>
      <c r="T67" s="40"/>
      <c r="U67" s="21"/>
      <c r="V67" s="48"/>
      <c r="W67" s="22"/>
      <c r="X67" s="40"/>
      <c r="Y67" s="40"/>
      <c r="Z67" s="40"/>
      <c r="AA67" s="22" t="s">
        <v>702</v>
      </c>
      <c r="AB67" s="172"/>
      <c r="AC67" s="48"/>
      <c r="AD67" s="40"/>
      <c r="AE67" s="40"/>
      <c r="AF67" s="40"/>
      <c r="AG67" s="40"/>
      <c r="AH67" s="40"/>
      <c r="AI67" s="40"/>
      <c r="AJ67" s="231">
        <f>+SUM(B85:AL85)</f>
        <v>33797</v>
      </c>
      <c r="AK67" s="232"/>
      <c r="AL67" s="23" t="s">
        <v>1</v>
      </c>
    </row>
    <row r="68" spans="1:38" s="11" customFormat="1" ht="12" customHeight="1">
      <c r="A68" s="230"/>
      <c r="B68" s="91"/>
      <c r="C68" s="22"/>
      <c r="D68" s="40"/>
      <c r="E68" s="40"/>
      <c r="F68" s="21"/>
      <c r="G68" s="21"/>
      <c r="H68" s="48"/>
      <c r="I68" s="40"/>
      <c r="J68" s="21"/>
      <c r="K68" s="40"/>
      <c r="L68" s="22" t="s">
        <v>669</v>
      </c>
      <c r="M68" s="40"/>
      <c r="N68" s="21"/>
      <c r="O68" s="48"/>
      <c r="P68" s="40"/>
      <c r="Q68" s="40"/>
      <c r="R68" s="40"/>
      <c r="S68" s="187" t="s">
        <v>1640</v>
      </c>
      <c r="T68" s="40"/>
      <c r="U68" s="21"/>
      <c r="V68" s="48"/>
      <c r="W68" s="22"/>
      <c r="X68" s="40"/>
      <c r="Y68" s="40"/>
      <c r="Z68" s="40"/>
      <c r="AA68" s="22" t="s">
        <v>703</v>
      </c>
      <c r="AB68" s="105"/>
      <c r="AC68" s="48"/>
      <c r="AD68" s="40"/>
      <c r="AE68" s="40"/>
      <c r="AF68" s="40"/>
      <c r="AG68" s="40"/>
      <c r="AH68" s="40"/>
      <c r="AI68" s="40"/>
      <c r="AJ68" s="48"/>
      <c r="AK68" s="156"/>
      <c r="AL68" s="61"/>
    </row>
    <row r="69" spans="1:38" s="11" customFormat="1" ht="12" customHeight="1">
      <c r="A69" s="230"/>
      <c r="B69" s="91"/>
      <c r="C69" s="22"/>
      <c r="D69" s="40"/>
      <c r="E69" s="40"/>
      <c r="F69" s="21"/>
      <c r="G69" s="21"/>
      <c r="H69" s="48"/>
      <c r="I69" s="40"/>
      <c r="J69" s="21"/>
      <c r="K69" s="40"/>
      <c r="L69" s="22" t="s">
        <v>670</v>
      </c>
      <c r="M69" s="40"/>
      <c r="N69" s="21"/>
      <c r="O69" s="48"/>
      <c r="P69" s="40"/>
      <c r="Q69" s="40"/>
      <c r="R69" s="40"/>
      <c r="S69" s="22" t="s">
        <v>706</v>
      </c>
      <c r="T69" s="40"/>
      <c r="U69" s="21"/>
      <c r="V69" s="48"/>
      <c r="W69" s="100"/>
      <c r="X69" s="40"/>
      <c r="Y69" s="40"/>
      <c r="Z69" s="40"/>
      <c r="AA69" s="172" t="s">
        <v>1246</v>
      </c>
      <c r="AB69" s="22"/>
      <c r="AC69" s="48"/>
      <c r="AD69" s="40"/>
      <c r="AE69" s="40"/>
      <c r="AF69" s="40"/>
      <c r="AG69" s="40"/>
      <c r="AH69" s="40"/>
      <c r="AI69" s="40"/>
      <c r="AJ69" s="48"/>
      <c r="AK69" s="156"/>
      <c r="AL69" s="61"/>
    </row>
    <row r="70" spans="1:38" s="11" customFormat="1" ht="12" customHeight="1">
      <c r="A70" s="230"/>
      <c r="B70" s="91"/>
      <c r="C70" s="22"/>
      <c r="D70" s="40"/>
      <c r="E70" s="40"/>
      <c r="F70" s="21"/>
      <c r="G70" s="21"/>
      <c r="H70" s="48"/>
      <c r="I70" s="40"/>
      <c r="J70" s="21"/>
      <c r="K70" s="40"/>
      <c r="L70" s="50" t="s">
        <v>626</v>
      </c>
      <c r="M70" s="40"/>
      <c r="N70" s="21"/>
      <c r="O70" s="48"/>
      <c r="P70" s="40"/>
      <c r="Q70" s="40"/>
      <c r="R70" s="40"/>
      <c r="S70" s="22" t="s">
        <v>707</v>
      </c>
      <c r="T70" s="40"/>
      <c r="U70" s="21"/>
      <c r="V70" s="48"/>
      <c r="W70" s="100"/>
      <c r="X70" s="40"/>
      <c r="Y70" s="40"/>
      <c r="Z70" s="40"/>
      <c r="AA70" s="187" t="s">
        <v>1642</v>
      </c>
      <c r="AB70" s="22"/>
      <c r="AC70" s="48"/>
      <c r="AD70" s="40"/>
      <c r="AE70" s="40"/>
      <c r="AF70" s="40"/>
      <c r="AG70" s="40"/>
      <c r="AH70" s="40"/>
      <c r="AI70" s="40"/>
      <c r="AJ70" s="48"/>
      <c r="AK70" s="156"/>
      <c r="AL70" s="61"/>
    </row>
    <row r="71" spans="1:38" s="11" customFormat="1" ht="12" customHeight="1">
      <c r="A71" s="230"/>
      <c r="B71" s="91"/>
      <c r="C71" s="22"/>
      <c r="D71" s="40"/>
      <c r="E71" s="21"/>
      <c r="F71" s="21"/>
      <c r="G71" s="21"/>
      <c r="H71" s="48"/>
      <c r="I71" s="40"/>
      <c r="J71" s="21"/>
      <c r="K71" s="40"/>
      <c r="L71" s="196" t="s">
        <v>1439</v>
      </c>
      <c r="M71" s="40"/>
      <c r="N71" s="21"/>
      <c r="O71" s="48"/>
      <c r="P71" s="40"/>
      <c r="Q71" s="40"/>
      <c r="R71" s="40"/>
      <c r="S71" s="22" t="s">
        <v>697</v>
      </c>
      <c r="T71" s="40"/>
      <c r="U71" s="40"/>
      <c r="V71" s="48"/>
      <c r="W71" s="100"/>
      <c r="X71" s="40"/>
      <c r="Y71" s="40"/>
      <c r="Z71" s="40"/>
      <c r="AA71" s="22" t="s">
        <v>704</v>
      </c>
      <c r="AB71" s="22"/>
      <c r="AC71" s="48"/>
      <c r="AD71" s="40"/>
      <c r="AE71" s="40"/>
      <c r="AF71" s="40"/>
      <c r="AG71" s="40"/>
      <c r="AH71" s="40"/>
      <c r="AI71" s="40"/>
      <c r="AJ71" s="48"/>
      <c r="AK71" s="156"/>
      <c r="AL71" s="61"/>
    </row>
    <row r="72" spans="1:38" s="11" customFormat="1" ht="12" customHeight="1">
      <c r="A72" s="230"/>
      <c r="B72" s="91"/>
      <c r="C72" s="22"/>
      <c r="D72" s="40"/>
      <c r="E72" s="21"/>
      <c r="F72" s="40"/>
      <c r="G72" s="21"/>
      <c r="H72" s="48"/>
      <c r="I72" s="40"/>
      <c r="J72" s="40"/>
      <c r="K72" s="40"/>
      <c r="L72" s="196" t="s">
        <v>1639</v>
      </c>
      <c r="M72" s="40"/>
      <c r="N72" s="21"/>
      <c r="O72" s="48"/>
      <c r="P72" s="40"/>
      <c r="Q72" s="40"/>
      <c r="R72" s="40"/>
      <c r="S72" s="22" t="s">
        <v>698</v>
      </c>
      <c r="T72" s="40"/>
      <c r="U72" s="40"/>
      <c r="V72" s="48"/>
      <c r="W72" s="40"/>
      <c r="X72" s="40"/>
      <c r="Y72" s="40"/>
      <c r="Z72" s="40"/>
      <c r="AA72" s="22" t="s">
        <v>1213</v>
      </c>
      <c r="AB72" s="50"/>
      <c r="AC72" s="48"/>
      <c r="AD72" s="40"/>
      <c r="AE72" s="40"/>
      <c r="AF72" s="40"/>
      <c r="AG72" s="40"/>
      <c r="AH72" s="40"/>
      <c r="AI72" s="40"/>
      <c r="AJ72" s="48"/>
      <c r="AK72" s="156"/>
      <c r="AL72" s="61"/>
    </row>
    <row r="73" spans="1:38" s="11" customFormat="1" ht="12" customHeight="1">
      <c r="A73" s="230"/>
      <c r="B73" s="91"/>
      <c r="C73" s="22"/>
      <c r="D73" s="40"/>
      <c r="E73" s="21"/>
      <c r="F73" s="40"/>
      <c r="G73" s="21"/>
      <c r="H73" s="48"/>
      <c r="I73" s="40"/>
      <c r="J73" s="40"/>
      <c r="K73" s="40"/>
      <c r="L73" s="195" t="s">
        <v>1638</v>
      </c>
      <c r="M73" s="40"/>
      <c r="N73" s="21"/>
      <c r="O73" s="48"/>
      <c r="P73" s="40"/>
      <c r="Q73" s="40"/>
      <c r="R73" s="40"/>
      <c r="S73" s="172" t="s">
        <v>1244</v>
      </c>
      <c r="T73" s="40"/>
      <c r="U73" s="40"/>
      <c r="V73" s="48"/>
      <c r="W73" s="40"/>
      <c r="X73" s="40"/>
      <c r="Y73" s="40"/>
      <c r="Z73" s="40"/>
      <c r="AA73" s="22" t="s">
        <v>687</v>
      </c>
      <c r="AB73" s="172"/>
      <c r="AC73" s="48"/>
      <c r="AD73" s="40"/>
      <c r="AE73" s="40"/>
      <c r="AF73" s="40"/>
      <c r="AH73" s="40"/>
      <c r="AI73" s="97"/>
      <c r="AJ73" s="48"/>
      <c r="AK73" s="156"/>
      <c r="AL73" s="61"/>
    </row>
    <row r="74" spans="1:38" s="11" customFormat="1" ht="12" customHeight="1">
      <c r="A74" s="230"/>
      <c r="B74" s="91"/>
      <c r="C74" s="22"/>
      <c r="D74" s="40"/>
      <c r="E74" s="21"/>
      <c r="F74" s="21"/>
      <c r="G74" s="21"/>
      <c r="H74" s="48"/>
      <c r="I74" s="40"/>
      <c r="J74" s="40"/>
      <c r="K74" s="40"/>
      <c r="L74" s="50" t="s">
        <v>664</v>
      </c>
      <c r="M74" s="40"/>
      <c r="N74" s="21"/>
      <c r="O74" s="48"/>
      <c r="P74" s="40"/>
      <c r="Q74" s="40"/>
      <c r="R74" s="40"/>
      <c r="S74" s="187" t="s">
        <v>1641</v>
      </c>
      <c r="T74" s="40"/>
      <c r="U74" s="21"/>
      <c r="V74" s="48"/>
      <c r="W74" s="40"/>
      <c r="X74" s="40"/>
      <c r="Y74" s="40"/>
      <c r="Z74" s="40"/>
      <c r="AA74" s="50" t="s">
        <v>1122</v>
      </c>
      <c r="AB74" s="105"/>
      <c r="AC74" s="48"/>
      <c r="AD74" s="40"/>
      <c r="AE74" s="40"/>
      <c r="AF74" s="40"/>
      <c r="AG74" s="40"/>
      <c r="AH74" s="91"/>
      <c r="AJ74" s="48"/>
      <c r="AK74" s="156"/>
      <c r="AL74" s="61"/>
    </row>
    <row r="75" spans="1:38" s="11" customFormat="1" ht="12" customHeight="1">
      <c r="A75" s="230"/>
      <c r="B75" s="91"/>
      <c r="C75" s="22"/>
      <c r="D75" s="40"/>
      <c r="E75" s="21"/>
      <c r="F75" s="21"/>
      <c r="G75" s="21"/>
      <c r="H75" s="48"/>
      <c r="I75" s="40"/>
      <c r="J75" s="40"/>
      <c r="K75" s="40"/>
      <c r="L75" s="22" t="s">
        <v>665</v>
      </c>
      <c r="M75" s="40"/>
      <c r="N75" s="21"/>
      <c r="O75" s="48"/>
      <c r="P75" s="40"/>
      <c r="Q75" s="40"/>
      <c r="R75" s="40"/>
      <c r="S75" s="22"/>
      <c r="T75" s="40"/>
      <c r="U75" s="21"/>
      <c r="V75" s="48"/>
      <c r="W75" s="40"/>
      <c r="X75" s="40"/>
      <c r="Y75" s="40"/>
      <c r="Z75" s="40"/>
      <c r="AA75" s="172" t="s">
        <v>1125</v>
      </c>
      <c r="AB75" s="50"/>
      <c r="AC75" s="48"/>
      <c r="AD75" s="40"/>
      <c r="AE75" s="40"/>
      <c r="AF75" s="40"/>
      <c r="AG75" s="40"/>
      <c r="AH75" s="91"/>
      <c r="AI75" s="97"/>
      <c r="AJ75" s="48"/>
      <c r="AK75" s="156"/>
      <c r="AL75" s="61"/>
    </row>
    <row r="76" spans="1:38" s="11" customFormat="1" ht="12" customHeight="1">
      <c r="A76" s="230"/>
      <c r="B76" s="91"/>
      <c r="C76" s="22"/>
      <c r="D76" s="40"/>
      <c r="E76" s="21"/>
      <c r="F76" s="21"/>
      <c r="G76" s="21"/>
      <c r="H76" s="48"/>
      <c r="I76" s="40"/>
      <c r="J76" s="40"/>
      <c r="K76" s="40"/>
      <c r="L76" s="175" t="s">
        <v>1252</v>
      </c>
      <c r="M76" s="40"/>
      <c r="N76" s="21"/>
      <c r="O76" s="48"/>
      <c r="P76" s="40"/>
      <c r="Q76" s="40"/>
      <c r="R76" s="40"/>
      <c r="S76" s="172"/>
      <c r="T76" s="40"/>
      <c r="U76" s="21"/>
      <c r="V76" s="48"/>
      <c r="W76" s="40"/>
      <c r="X76" s="40"/>
      <c r="Y76" s="40"/>
      <c r="Z76" s="40"/>
      <c r="AA76" s="187" t="s">
        <v>1644</v>
      </c>
      <c r="AB76" s="22"/>
      <c r="AC76" s="48"/>
      <c r="AD76" s="40"/>
      <c r="AE76" s="40"/>
      <c r="AF76" s="40"/>
      <c r="AG76" s="40"/>
      <c r="AH76" s="91"/>
      <c r="AI76" s="97"/>
      <c r="AJ76" s="48"/>
      <c r="AK76" s="156"/>
      <c r="AL76" s="61"/>
    </row>
    <row r="77" spans="1:38" s="11" customFormat="1" ht="12" customHeight="1">
      <c r="A77" s="230"/>
      <c r="B77" s="91"/>
      <c r="C77" s="22"/>
      <c r="D77" s="40"/>
      <c r="E77" s="21"/>
      <c r="F77" s="21"/>
      <c r="G77" s="21"/>
      <c r="H77" s="48"/>
      <c r="I77" s="40"/>
      <c r="J77" s="40"/>
      <c r="K77" s="40"/>
      <c r="L77" s="22" t="s">
        <v>666</v>
      </c>
      <c r="M77" s="40"/>
      <c r="N77" s="21"/>
      <c r="O77" s="48"/>
      <c r="P77" s="40"/>
      <c r="Q77" s="40"/>
      <c r="R77" s="40"/>
      <c r="S77" s="105"/>
      <c r="T77" s="40"/>
      <c r="U77" s="21"/>
      <c r="V77" s="48"/>
      <c r="W77" s="40"/>
      <c r="X77" s="40"/>
      <c r="Y77" s="40"/>
      <c r="Z77" s="40"/>
      <c r="AA77" s="50" t="s">
        <v>626</v>
      </c>
      <c r="AB77" s="50"/>
      <c r="AC77" s="48"/>
      <c r="AD77" s="40"/>
      <c r="AE77" s="40"/>
      <c r="AF77" s="40"/>
      <c r="AH77" s="91"/>
      <c r="AI77" s="97"/>
      <c r="AJ77" s="48"/>
      <c r="AK77" s="156"/>
      <c r="AL77" s="61"/>
    </row>
    <row r="78" spans="1:38" s="11" customFormat="1" ht="12" customHeight="1">
      <c r="A78" s="230"/>
      <c r="B78" s="91"/>
      <c r="C78" s="22"/>
      <c r="D78" s="40"/>
      <c r="E78" s="21"/>
      <c r="F78" s="21"/>
      <c r="G78" s="21"/>
      <c r="H78" s="48"/>
      <c r="I78" s="40"/>
      <c r="J78" s="40"/>
      <c r="K78" s="40"/>
      <c r="L78" s="175" t="s">
        <v>1253</v>
      </c>
      <c r="M78" s="40"/>
      <c r="N78" s="21"/>
      <c r="O78" s="48"/>
      <c r="P78" s="40"/>
      <c r="Q78" s="40"/>
      <c r="R78" s="40"/>
      <c r="S78" s="105"/>
      <c r="T78" s="40"/>
      <c r="U78" s="21"/>
      <c r="V78" s="48"/>
      <c r="W78" s="40"/>
      <c r="X78" s="40"/>
      <c r="Y78" s="40"/>
      <c r="Z78" s="40"/>
      <c r="AA78" s="22" t="s">
        <v>708</v>
      </c>
      <c r="AB78" s="172"/>
      <c r="AC78" s="48"/>
      <c r="AD78" s="40"/>
      <c r="AE78" s="40"/>
      <c r="AF78" s="40"/>
      <c r="AH78" s="91"/>
      <c r="AI78" s="97"/>
      <c r="AJ78" s="48"/>
      <c r="AK78" s="156"/>
      <c r="AL78" s="61"/>
    </row>
    <row r="79" spans="1:38" s="11" customFormat="1" ht="12" customHeight="1">
      <c r="A79" s="230"/>
      <c r="B79" s="91"/>
      <c r="C79" s="22"/>
      <c r="D79" s="40"/>
      <c r="E79" s="21"/>
      <c r="F79" s="21"/>
      <c r="G79" s="21"/>
      <c r="H79" s="48"/>
      <c r="I79" s="40"/>
      <c r="J79" s="40"/>
      <c r="K79" s="40"/>
      <c r="L79" s="22" t="s">
        <v>667</v>
      </c>
      <c r="M79" s="40"/>
      <c r="N79" s="21"/>
      <c r="O79" s="48"/>
      <c r="P79" s="40"/>
      <c r="Q79" s="40"/>
      <c r="R79" s="40"/>
      <c r="S79" s="105"/>
      <c r="T79" s="40"/>
      <c r="U79" s="21"/>
      <c r="V79" s="48"/>
      <c r="W79" s="40"/>
      <c r="X79" s="40"/>
      <c r="Y79" s="40"/>
      <c r="Z79" s="40"/>
      <c r="AA79" s="50" t="s">
        <v>689</v>
      </c>
      <c r="AB79" s="105"/>
      <c r="AC79" s="48"/>
      <c r="AD79" s="40"/>
      <c r="AE79" s="40"/>
      <c r="AF79" s="40"/>
      <c r="AH79" s="91"/>
      <c r="AI79" s="97"/>
      <c r="AJ79" s="48"/>
      <c r="AK79" s="156"/>
      <c r="AL79" s="61"/>
    </row>
    <row r="80" spans="1:38" s="11" customFormat="1" ht="12" customHeight="1">
      <c r="A80" s="230"/>
      <c r="B80" s="91"/>
      <c r="C80" s="22"/>
      <c r="D80" s="40"/>
      <c r="E80" s="21"/>
      <c r="F80" s="21"/>
      <c r="G80" s="21"/>
      <c r="H80" s="48"/>
      <c r="I80" s="40"/>
      <c r="J80" s="40"/>
      <c r="K80" s="40"/>
      <c r="L80" s="175" t="s">
        <v>1254</v>
      </c>
      <c r="M80" s="40"/>
      <c r="N80" s="21"/>
      <c r="O80" s="48"/>
      <c r="P80" s="40"/>
      <c r="Q80" s="40"/>
      <c r="R80" s="40"/>
      <c r="S80" s="105"/>
      <c r="T80" s="40"/>
      <c r="U80" s="21"/>
      <c r="V80" s="48"/>
      <c r="W80" s="40"/>
      <c r="X80" s="40"/>
      <c r="Y80" s="40"/>
      <c r="Z80" s="40"/>
      <c r="AA80" s="22" t="s">
        <v>692</v>
      </c>
      <c r="AB80" s="50"/>
      <c r="AC80" s="48"/>
      <c r="AD80" s="40"/>
      <c r="AF80" s="40"/>
      <c r="AG80" s="40"/>
      <c r="AH80" s="91"/>
      <c r="AI80" s="97"/>
      <c r="AJ80" s="48"/>
      <c r="AK80" s="156"/>
      <c r="AL80" s="61"/>
    </row>
    <row r="81" spans="1:39" s="11" customFormat="1" ht="12" customHeight="1">
      <c r="A81" s="230"/>
      <c r="B81" s="91"/>
      <c r="C81" s="22"/>
      <c r="D81" s="40"/>
      <c r="E81" s="21"/>
      <c r="F81" s="21"/>
      <c r="G81" s="21"/>
      <c r="H81" s="48"/>
      <c r="I81" s="40"/>
      <c r="J81" s="40"/>
      <c r="K81" s="22"/>
      <c r="L81" s="22" t="s">
        <v>668</v>
      </c>
      <c r="M81" s="40"/>
      <c r="N81" s="21"/>
      <c r="O81" s="48"/>
      <c r="P81" s="40"/>
      <c r="Q81" s="40"/>
      <c r="R81" s="40"/>
      <c r="S81" s="105"/>
      <c r="T81" s="50"/>
      <c r="U81" s="21"/>
      <c r="V81" s="48"/>
      <c r="W81" s="40"/>
      <c r="X81" s="40"/>
      <c r="Y81" s="40"/>
      <c r="Z81" s="40"/>
      <c r="AA81" s="22" t="s">
        <v>693</v>
      </c>
      <c r="AB81" s="22"/>
      <c r="AC81" s="48"/>
      <c r="AD81" s="40"/>
      <c r="AF81" s="40"/>
      <c r="AG81" s="40"/>
      <c r="AH81" s="91"/>
      <c r="AI81" s="97"/>
      <c r="AJ81" s="48"/>
      <c r="AK81" s="156"/>
      <c r="AL81" s="61"/>
    </row>
    <row r="82" spans="1:39" s="11" customFormat="1" ht="12" customHeight="1">
      <c r="A82" s="230"/>
      <c r="B82" s="91"/>
      <c r="C82" s="22"/>
      <c r="D82" s="40"/>
      <c r="E82" s="21"/>
      <c r="F82" s="21"/>
      <c r="G82" s="21"/>
      <c r="H82" s="48"/>
      <c r="I82" s="40"/>
      <c r="J82" s="40"/>
      <c r="K82" s="22"/>
      <c r="L82" s="40"/>
      <c r="M82" s="40"/>
      <c r="N82" s="21"/>
      <c r="O82" s="48"/>
      <c r="P82" s="40"/>
      <c r="Q82" s="40"/>
      <c r="R82" s="40"/>
      <c r="S82" s="105"/>
      <c r="T82" s="40"/>
      <c r="U82" s="21"/>
      <c r="V82" s="48"/>
      <c r="W82" s="40"/>
      <c r="X82" s="40"/>
      <c r="Y82" s="40"/>
      <c r="Z82" s="40"/>
      <c r="AA82" s="50" t="s">
        <v>1122</v>
      </c>
      <c r="AB82" s="50"/>
      <c r="AC82" s="48"/>
      <c r="AD82" s="40"/>
      <c r="AE82" s="40"/>
      <c r="AF82" s="40"/>
      <c r="AG82" s="40"/>
      <c r="AH82" s="91"/>
      <c r="AI82" s="97" t="s">
        <v>1077</v>
      </c>
      <c r="AJ82" s="48"/>
      <c r="AK82" s="156"/>
      <c r="AL82" s="61"/>
    </row>
    <row r="83" spans="1:39" s="11" customFormat="1" ht="12" customHeight="1">
      <c r="A83" s="230"/>
      <c r="B83" s="91"/>
      <c r="C83" s="22"/>
      <c r="D83" s="40"/>
      <c r="E83" s="21"/>
      <c r="F83" s="21"/>
      <c r="G83" s="21"/>
      <c r="H83" s="98"/>
      <c r="I83" s="40"/>
      <c r="J83" s="40"/>
      <c r="K83" s="22"/>
      <c r="L83" s="40"/>
      <c r="M83" s="40"/>
      <c r="N83" s="21"/>
      <c r="O83" s="48"/>
      <c r="P83" s="40"/>
      <c r="Q83" s="40"/>
      <c r="R83" s="40"/>
      <c r="S83" s="105"/>
      <c r="T83" s="40"/>
      <c r="U83" s="21"/>
      <c r="V83" s="48"/>
      <c r="W83" s="40"/>
      <c r="X83" s="40"/>
      <c r="Y83" s="40"/>
      <c r="Z83" s="40"/>
      <c r="AA83" s="172" t="s">
        <v>1125</v>
      </c>
      <c r="AB83" s="50"/>
      <c r="AC83" s="98"/>
      <c r="AD83" s="40"/>
      <c r="AE83" s="40"/>
      <c r="AF83" s="40"/>
      <c r="AG83" s="40"/>
      <c r="AH83" s="91"/>
      <c r="AI83" s="97"/>
      <c r="AJ83" s="48"/>
      <c r="AK83" s="156"/>
      <c r="AL83" s="61"/>
    </row>
    <row r="84" spans="1:39" s="11" customFormat="1" ht="12" customHeight="1">
      <c r="A84" s="230"/>
      <c r="B84" s="91"/>
      <c r="C84" s="22"/>
      <c r="D84" s="40"/>
      <c r="E84" s="21"/>
      <c r="F84" s="21"/>
      <c r="G84" s="21"/>
      <c r="H84" s="98"/>
      <c r="I84" s="40"/>
      <c r="J84" s="40"/>
      <c r="K84" s="22"/>
      <c r="L84" s="40"/>
      <c r="M84" s="40"/>
      <c r="N84" s="21"/>
      <c r="O84" s="48"/>
      <c r="P84" s="40"/>
      <c r="Q84" s="40"/>
      <c r="R84" s="40"/>
      <c r="S84" s="105"/>
      <c r="T84" s="40"/>
      <c r="U84" s="21"/>
      <c r="V84" s="48"/>
      <c r="W84" s="40"/>
      <c r="X84" s="40"/>
      <c r="Y84" s="40"/>
      <c r="Z84" s="40"/>
      <c r="AA84" s="187" t="s">
        <v>1644</v>
      </c>
      <c r="AB84" s="50"/>
      <c r="AC84" s="98"/>
      <c r="AD84" s="40"/>
      <c r="AE84" s="40"/>
      <c r="AF84" s="40"/>
      <c r="AG84" s="40"/>
      <c r="AH84" s="91"/>
      <c r="AI84" s="97"/>
      <c r="AJ84" s="48"/>
      <c r="AK84" s="156"/>
      <c r="AL84" s="61"/>
    </row>
    <row r="85" spans="1:39" s="11" customFormat="1" ht="15.75" customHeight="1">
      <c r="A85" s="230"/>
      <c r="B85" s="24"/>
      <c r="C85" s="56"/>
      <c r="D85" s="24"/>
      <c r="E85" s="56"/>
      <c r="F85" s="24"/>
      <c r="G85" s="233">
        <f>677+435+293+517+713+840+302</f>
        <v>3777</v>
      </c>
      <c r="H85" s="234"/>
      <c r="I85" s="24"/>
      <c r="J85" s="24"/>
      <c r="K85" s="242">
        <f>212+310+732+746+672+483+127+519+789+320+316+137+645+152+152+260+263+504+240+312+138+111+455</f>
        <v>8595</v>
      </c>
      <c r="L85" s="243"/>
      <c r="M85" s="56"/>
      <c r="N85" s="24"/>
      <c r="O85" s="25"/>
      <c r="P85" s="56"/>
      <c r="Q85" s="24"/>
      <c r="R85" s="242">
        <f>899+376+264+243+480+912+2+962+668+121+353+558+800+202+236+307+303+1065</f>
        <v>8751</v>
      </c>
      <c r="S85" s="243"/>
      <c r="T85" s="56"/>
      <c r="U85" s="24"/>
      <c r="V85" s="25"/>
      <c r="W85" s="56"/>
      <c r="X85" s="24"/>
      <c r="Y85" s="24"/>
      <c r="Z85" s="24"/>
      <c r="AA85" s="233">
        <f>300+765+808+613+140+800+800+800+999+389+419+345+808+396+650+630+1000+300+412+300+1000</f>
        <v>12674</v>
      </c>
      <c r="AB85" s="234"/>
      <c r="AC85" s="56"/>
      <c r="AD85" s="24"/>
      <c r="AE85" s="24"/>
      <c r="AF85" s="24"/>
      <c r="AG85" s="24"/>
      <c r="AH85" s="24"/>
      <c r="AI85" s="56"/>
      <c r="AJ85" s="24"/>
      <c r="AK85" s="24"/>
      <c r="AL85" s="64"/>
    </row>
    <row r="86" spans="1:39" s="11" customFormat="1" ht="2.25" customHeight="1">
      <c r="A86" s="230"/>
      <c r="B86" s="27"/>
      <c r="C86" s="27"/>
      <c r="D86" s="27"/>
      <c r="E86" s="28"/>
      <c r="F86" s="27"/>
      <c r="G86" s="27"/>
      <c r="H86" s="29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30"/>
    </row>
    <row r="87" spans="1:39" s="11" customFormat="1" ht="19.5" customHeight="1">
      <c r="A87" s="230"/>
      <c r="B87" s="16"/>
      <c r="C87" s="16"/>
      <c r="D87" s="16"/>
      <c r="E87" s="16"/>
      <c r="F87" s="16">
        <v>880</v>
      </c>
      <c r="G87" s="16">
        <v>640</v>
      </c>
      <c r="H87" s="25"/>
      <c r="I87" s="16">
        <v>1080</v>
      </c>
      <c r="J87" s="16">
        <v>1490</v>
      </c>
      <c r="K87" s="16">
        <v>880</v>
      </c>
      <c r="L87" s="16">
        <v>760</v>
      </c>
      <c r="M87" s="16">
        <v>880</v>
      </c>
      <c r="N87" s="16">
        <v>560</v>
      </c>
      <c r="O87" s="25"/>
      <c r="P87" s="16">
        <v>560</v>
      </c>
      <c r="Q87" s="16">
        <v>760</v>
      </c>
      <c r="R87" s="16">
        <v>880</v>
      </c>
      <c r="S87" s="16">
        <v>760</v>
      </c>
      <c r="T87" s="16">
        <v>880</v>
      </c>
      <c r="U87" s="16">
        <v>760</v>
      </c>
      <c r="V87" s="25"/>
      <c r="W87" s="16">
        <v>760</v>
      </c>
      <c r="X87" s="16">
        <v>640</v>
      </c>
      <c r="Y87" s="16">
        <v>640</v>
      </c>
      <c r="Z87" s="16">
        <v>640</v>
      </c>
      <c r="AA87" s="16">
        <v>640</v>
      </c>
      <c r="AB87" s="16">
        <v>640</v>
      </c>
      <c r="AC87" s="25"/>
      <c r="AD87" s="16">
        <v>640</v>
      </c>
      <c r="AE87" s="16">
        <v>640</v>
      </c>
      <c r="AF87" s="16">
        <v>640</v>
      </c>
      <c r="AG87" s="16"/>
      <c r="AH87" s="16"/>
      <c r="AI87" s="51"/>
      <c r="AJ87" s="25"/>
      <c r="AK87" s="16"/>
      <c r="AL87" s="129"/>
      <c r="AM87" s="17">
        <f>+SUM(B87:AL87)</f>
        <v>17650</v>
      </c>
    </row>
    <row r="88" spans="1:39" s="17" customFormat="1" ht="19.5" customHeight="1">
      <c r="A88" s="230"/>
      <c r="B88" s="122">
        <v>11</v>
      </c>
      <c r="C88" s="122">
        <v>11</v>
      </c>
      <c r="D88" s="122">
        <v>11</v>
      </c>
      <c r="E88" s="122">
        <v>11</v>
      </c>
      <c r="F88" s="122">
        <v>8</v>
      </c>
      <c r="G88" s="122">
        <v>8</v>
      </c>
      <c r="H88" s="25"/>
      <c r="I88" s="18">
        <v>11</v>
      </c>
      <c r="J88" s="18">
        <v>11</v>
      </c>
      <c r="K88" s="18">
        <v>11</v>
      </c>
      <c r="L88" s="18">
        <v>11</v>
      </c>
      <c r="M88" s="18">
        <v>8</v>
      </c>
      <c r="N88" s="18">
        <v>8</v>
      </c>
      <c r="O88" s="193"/>
      <c r="P88" s="18">
        <v>9.5</v>
      </c>
      <c r="Q88" s="18">
        <v>11</v>
      </c>
      <c r="R88" s="18">
        <v>9.5</v>
      </c>
      <c r="S88" s="18">
        <v>11</v>
      </c>
      <c r="T88" s="18">
        <v>9.5</v>
      </c>
      <c r="U88" s="18">
        <v>9.5</v>
      </c>
      <c r="V88" s="25"/>
      <c r="W88" s="18">
        <v>8</v>
      </c>
      <c r="X88" s="18">
        <v>8</v>
      </c>
      <c r="Y88" s="18">
        <v>8</v>
      </c>
      <c r="Z88" s="18">
        <v>8</v>
      </c>
      <c r="AA88" s="18">
        <v>8</v>
      </c>
      <c r="AB88" s="18">
        <v>8</v>
      </c>
      <c r="AC88" s="193"/>
      <c r="AD88" s="18">
        <v>8</v>
      </c>
      <c r="AE88" s="18">
        <v>8</v>
      </c>
      <c r="AF88" s="18">
        <v>8</v>
      </c>
      <c r="AG88" s="18"/>
      <c r="AH88" s="18"/>
      <c r="AI88" s="18"/>
      <c r="AJ88" s="25"/>
      <c r="AK88" s="18"/>
      <c r="AL88" s="18"/>
    </row>
    <row r="89" spans="1:39" s="17" customFormat="1" ht="17.25" customHeight="1">
      <c r="A89" s="230"/>
      <c r="B89" s="41"/>
      <c r="C89" s="41"/>
      <c r="D89" s="41"/>
      <c r="E89" s="41"/>
      <c r="F89" s="88" t="s">
        <v>70</v>
      </c>
      <c r="G89" s="41"/>
      <c r="H89" s="25"/>
      <c r="I89" s="120" t="s">
        <v>317</v>
      </c>
      <c r="J89" s="41"/>
      <c r="K89" s="120" t="s">
        <v>70</v>
      </c>
      <c r="L89" s="121"/>
      <c r="M89" s="121"/>
      <c r="N89" s="121"/>
      <c r="O89" s="25"/>
      <c r="P89" s="121"/>
      <c r="Q89" s="121"/>
      <c r="R89" s="121"/>
      <c r="S89" s="121"/>
      <c r="T89" s="121"/>
      <c r="U89" s="121"/>
      <c r="V89" s="25"/>
      <c r="W89" s="41"/>
      <c r="X89" s="41"/>
      <c r="Y89" s="41"/>
      <c r="Z89" s="41"/>
      <c r="AA89" s="41"/>
      <c r="AB89" s="41"/>
      <c r="AC89" s="25"/>
      <c r="AD89" s="41"/>
      <c r="AE89" s="41"/>
      <c r="AF89" s="41"/>
      <c r="AG89" s="41"/>
      <c r="AH89" s="41"/>
      <c r="AI89" s="41"/>
      <c r="AJ89" s="25"/>
      <c r="AK89" s="41"/>
      <c r="AL89" s="173"/>
    </row>
    <row r="90" spans="1:39" s="17" customFormat="1" ht="17.25" customHeight="1">
      <c r="A90" s="230"/>
      <c r="B90" s="20"/>
      <c r="C90" s="20"/>
      <c r="D90" s="20"/>
      <c r="E90" s="20"/>
      <c r="F90" s="20"/>
      <c r="G90" s="20"/>
      <c r="H90" s="25"/>
      <c r="I90" s="20"/>
      <c r="J90" s="20"/>
      <c r="K90" s="20"/>
      <c r="L90" s="20"/>
      <c r="M90" s="20"/>
      <c r="N90" s="20"/>
      <c r="O90" s="25"/>
      <c r="P90" s="20"/>
      <c r="Q90" s="20"/>
      <c r="R90" s="20"/>
      <c r="S90" s="20"/>
      <c r="T90" s="20"/>
      <c r="U90" s="20"/>
      <c r="V90" s="25"/>
      <c r="W90" s="20"/>
      <c r="X90" s="20"/>
      <c r="Y90" s="20"/>
      <c r="Z90" s="20"/>
      <c r="AA90" s="20"/>
      <c r="AB90" s="20"/>
      <c r="AC90" s="25"/>
      <c r="AD90" s="20"/>
      <c r="AE90" s="20"/>
      <c r="AF90" s="20"/>
      <c r="AG90" s="20"/>
      <c r="AH90" s="20"/>
      <c r="AI90" s="20"/>
      <c r="AJ90" s="25"/>
      <c r="AK90" s="20"/>
      <c r="AL90" s="169"/>
    </row>
    <row r="91" spans="1:39" s="11" customFormat="1" ht="13.5" customHeight="1">
      <c r="A91" s="230"/>
      <c r="B91" s="46"/>
      <c r="C91" s="49"/>
      <c r="D91" s="40"/>
      <c r="E91" s="47"/>
      <c r="F91" s="203" t="s">
        <v>671</v>
      </c>
      <c r="H91" s="48"/>
      <c r="I91" s="40"/>
      <c r="K91" s="50" t="s">
        <v>626</v>
      </c>
      <c r="L91" s="40"/>
      <c r="M91" s="47"/>
      <c r="N91" s="40"/>
      <c r="O91" s="48"/>
      <c r="P91" s="40"/>
      <c r="Q91" s="40"/>
      <c r="R91" s="50" t="s">
        <v>689</v>
      </c>
      <c r="S91" s="40"/>
      <c r="T91" s="40"/>
      <c r="U91" s="40"/>
      <c r="V91" s="48"/>
      <c r="W91" s="50"/>
      <c r="X91" s="40"/>
      <c r="Z91" s="40"/>
      <c r="AB91" s="40"/>
      <c r="AC91" s="48"/>
      <c r="AE91" s="50" t="s">
        <v>626</v>
      </c>
      <c r="AF91" s="40"/>
      <c r="AG91" s="47"/>
      <c r="AI91" s="47"/>
      <c r="AJ91" s="48"/>
      <c r="AK91" s="62"/>
      <c r="AL91" s="61"/>
    </row>
    <row r="92" spans="1:39" s="11" customFormat="1" ht="13.5" customHeight="1">
      <c r="A92" s="230"/>
      <c r="B92" s="22"/>
      <c r="C92" s="22"/>
      <c r="D92" s="40"/>
      <c r="E92" s="21"/>
      <c r="F92" s="171" t="s">
        <v>1502</v>
      </c>
      <c r="H92" s="48"/>
      <c r="I92" s="40"/>
      <c r="J92" s="40"/>
      <c r="K92" s="22" t="s">
        <v>644</v>
      </c>
      <c r="L92" s="40"/>
      <c r="M92" s="21"/>
      <c r="N92" s="40"/>
      <c r="O92" s="48"/>
      <c r="P92" s="40"/>
      <c r="Q92" s="40"/>
      <c r="R92" s="22" t="s">
        <v>690</v>
      </c>
      <c r="S92" s="40"/>
      <c r="T92" s="40"/>
      <c r="U92" s="40"/>
      <c r="V92" s="48"/>
      <c r="W92" s="40"/>
      <c r="X92" s="40"/>
      <c r="Y92" s="40"/>
      <c r="Z92" s="40"/>
      <c r="AA92" s="40"/>
      <c r="AB92" s="40"/>
      <c r="AC92" s="48"/>
      <c r="AD92" s="40"/>
      <c r="AE92" s="22" t="s">
        <v>1090</v>
      </c>
      <c r="AF92" s="40"/>
      <c r="AG92" s="21"/>
      <c r="AH92" s="40"/>
      <c r="AI92" s="21"/>
      <c r="AJ92" s="48"/>
      <c r="AK92" s="58"/>
      <c r="AL92" s="61"/>
    </row>
    <row r="93" spans="1:39" s="11" customFormat="1" ht="13.5" customHeight="1">
      <c r="A93" s="230"/>
      <c r="B93" s="22"/>
      <c r="C93" s="22"/>
      <c r="D93" s="40"/>
      <c r="E93" s="21"/>
      <c r="F93" s="171" t="s">
        <v>1503</v>
      </c>
      <c r="H93" s="48"/>
      <c r="I93" s="40"/>
      <c r="J93" s="40"/>
      <c r="K93" s="22" t="s">
        <v>645</v>
      </c>
      <c r="L93" s="40"/>
      <c r="M93" s="21"/>
      <c r="N93" s="40"/>
      <c r="O93" s="48"/>
      <c r="P93" s="40"/>
      <c r="Q93" s="40"/>
      <c r="R93" s="22" t="s">
        <v>691</v>
      </c>
      <c r="S93" s="40"/>
      <c r="T93" s="40"/>
      <c r="U93" s="40"/>
      <c r="V93" s="48"/>
      <c r="W93" s="40"/>
      <c r="X93" s="40"/>
      <c r="Y93" s="40"/>
      <c r="Z93" s="40"/>
      <c r="AA93" s="40"/>
      <c r="AB93" s="40"/>
      <c r="AC93" s="48"/>
      <c r="AD93" s="40"/>
      <c r="AE93" s="22" t="s">
        <v>702</v>
      </c>
      <c r="AF93" s="40"/>
      <c r="AG93" s="21"/>
      <c r="AH93" s="40"/>
      <c r="AI93" s="21"/>
      <c r="AJ93" s="48"/>
      <c r="AK93" s="58"/>
      <c r="AL93" s="61"/>
    </row>
    <row r="94" spans="1:39" s="11" customFormat="1" ht="13.5" customHeight="1">
      <c r="A94" s="230"/>
      <c r="B94" s="22"/>
      <c r="C94" s="55"/>
      <c r="D94" s="40"/>
      <c r="E94" s="21"/>
      <c r="F94" s="203" t="s">
        <v>626</v>
      </c>
      <c r="H94" s="48"/>
      <c r="I94" s="40"/>
      <c r="J94" s="40"/>
      <c r="K94" s="22" t="s">
        <v>646</v>
      </c>
      <c r="L94" s="40"/>
      <c r="M94" s="21"/>
      <c r="N94" s="40"/>
      <c r="O94" s="48"/>
      <c r="P94" s="40"/>
      <c r="Q94" s="40"/>
      <c r="R94" s="50" t="s">
        <v>626</v>
      </c>
      <c r="S94" s="40"/>
      <c r="T94" s="40"/>
      <c r="U94" s="40"/>
      <c r="V94" s="48"/>
      <c r="W94" s="40"/>
      <c r="X94" s="40"/>
      <c r="Y94" s="40"/>
      <c r="Z94" s="40"/>
      <c r="AA94" s="40"/>
      <c r="AB94" s="40"/>
      <c r="AC94" s="48"/>
      <c r="AD94" s="40"/>
      <c r="AE94" s="22" t="s">
        <v>703</v>
      </c>
      <c r="AF94" s="40"/>
      <c r="AG94" s="21"/>
      <c r="AH94" s="40"/>
      <c r="AI94" s="21"/>
      <c r="AJ94" s="48"/>
      <c r="AK94" s="58"/>
      <c r="AL94" s="61"/>
    </row>
    <row r="95" spans="1:39" s="11" customFormat="1" ht="13.5" customHeight="1">
      <c r="A95" s="230"/>
      <c r="B95" s="22"/>
      <c r="C95" s="22"/>
      <c r="D95" s="40"/>
      <c r="E95" s="40"/>
      <c r="F95" s="196" t="s">
        <v>1504</v>
      </c>
      <c r="H95" s="48"/>
      <c r="I95" s="40"/>
      <c r="J95" s="40"/>
      <c r="K95" s="22" t="s">
        <v>631</v>
      </c>
      <c r="L95" s="40"/>
      <c r="M95" s="21"/>
      <c r="N95" s="40"/>
      <c r="O95" s="48"/>
      <c r="P95" s="40"/>
      <c r="Q95" s="40"/>
      <c r="R95" s="22" t="s">
        <v>1226</v>
      </c>
      <c r="S95" s="40"/>
      <c r="T95" s="40"/>
      <c r="U95" s="40"/>
      <c r="V95" s="48"/>
      <c r="W95" s="40"/>
      <c r="X95" s="40"/>
      <c r="Y95" s="40"/>
      <c r="Z95" s="40"/>
      <c r="AA95" s="40"/>
      <c r="AB95" s="40"/>
      <c r="AC95" s="48"/>
      <c r="AD95" s="40"/>
      <c r="AE95" s="22" t="s">
        <v>704</v>
      </c>
      <c r="AF95" s="40"/>
      <c r="AG95" s="21"/>
      <c r="AH95" s="40"/>
      <c r="AI95" s="21"/>
      <c r="AJ95" s="48"/>
      <c r="AK95" s="58"/>
      <c r="AL95" s="61"/>
    </row>
    <row r="96" spans="1:39" s="11" customFormat="1" ht="13.5" customHeight="1">
      <c r="A96" s="230"/>
      <c r="B96" s="22"/>
      <c r="C96" s="22"/>
      <c r="D96" s="40"/>
      <c r="E96" s="40"/>
      <c r="F96" s="194" t="s">
        <v>1507</v>
      </c>
      <c r="H96" s="48"/>
      <c r="I96" s="40"/>
      <c r="J96" s="40"/>
      <c r="K96" s="22" t="s">
        <v>632</v>
      </c>
      <c r="L96" s="40"/>
      <c r="M96" s="21"/>
      <c r="N96" s="40"/>
      <c r="O96" s="48"/>
      <c r="P96" s="40"/>
      <c r="Q96" s="40"/>
      <c r="R96" s="22" t="s">
        <v>918</v>
      </c>
      <c r="S96" s="40"/>
      <c r="T96" s="40"/>
      <c r="U96" s="40"/>
      <c r="V96" s="48"/>
      <c r="W96" s="40"/>
      <c r="X96" s="40"/>
      <c r="Y96" s="40"/>
      <c r="Z96" s="40"/>
      <c r="AA96" s="40"/>
      <c r="AB96" s="40"/>
      <c r="AC96" s="48"/>
      <c r="AD96" s="40"/>
      <c r="AE96" s="22" t="s">
        <v>1213</v>
      </c>
      <c r="AF96" s="40"/>
      <c r="AG96" s="21"/>
      <c r="AH96" s="40"/>
      <c r="AI96" s="21"/>
      <c r="AJ96" s="48"/>
      <c r="AK96" s="58"/>
      <c r="AL96" s="61"/>
    </row>
    <row r="97" spans="1:38" s="11" customFormat="1" ht="13.5" customHeight="1">
      <c r="A97" s="230"/>
      <c r="B97" s="22"/>
      <c r="C97" s="22"/>
      <c r="D97" s="40"/>
      <c r="E97" s="40"/>
      <c r="F97" s="194" t="s">
        <v>1508</v>
      </c>
      <c r="H97" s="48"/>
      <c r="I97" s="40"/>
      <c r="J97" s="40"/>
      <c r="K97" s="22" t="s">
        <v>655</v>
      </c>
      <c r="L97" s="40"/>
      <c r="M97" s="21"/>
      <c r="N97" s="40"/>
      <c r="O97" s="48"/>
      <c r="P97" s="40"/>
      <c r="Q97" s="40"/>
      <c r="R97" s="22" t="s">
        <v>696</v>
      </c>
      <c r="S97" s="40"/>
      <c r="T97" s="40"/>
      <c r="U97" s="40"/>
      <c r="V97" s="48"/>
      <c r="W97" s="40"/>
      <c r="X97" s="40"/>
      <c r="Y97" s="40"/>
      <c r="Z97" s="40"/>
      <c r="AA97" s="40"/>
      <c r="AB97" s="40"/>
      <c r="AC97" s="48"/>
      <c r="AD97" s="40"/>
      <c r="AE97" s="22" t="s">
        <v>687</v>
      </c>
      <c r="AF97" s="40"/>
      <c r="AG97" s="21"/>
      <c r="AH97" s="40"/>
      <c r="AI97" s="21"/>
      <c r="AJ97" s="48"/>
      <c r="AK97" s="58"/>
      <c r="AL97" s="61"/>
    </row>
    <row r="98" spans="1:38" s="11" customFormat="1" ht="13.5" customHeight="1">
      <c r="A98" s="230"/>
      <c r="B98" s="22"/>
      <c r="C98" s="22"/>
      <c r="D98" s="40"/>
      <c r="E98" s="40"/>
      <c r="F98" s="194" t="s">
        <v>1505</v>
      </c>
      <c r="H98" s="48"/>
      <c r="I98" s="40"/>
      <c r="J98" s="40"/>
      <c r="K98" s="22" t="s">
        <v>656</v>
      </c>
      <c r="L98" s="40"/>
      <c r="M98" s="21"/>
      <c r="N98" s="40"/>
      <c r="O98" s="48"/>
      <c r="P98" s="40"/>
      <c r="Q98" s="40"/>
      <c r="R98" s="22" t="s">
        <v>701</v>
      </c>
      <c r="S98" s="40"/>
      <c r="T98" s="40"/>
      <c r="U98" s="40"/>
      <c r="V98" s="48"/>
      <c r="W98" s="40"/>
      <c r="X98" s="40"/>
      <c r="Y98" s="40"/>
      <c r="Z98" s="40"/>
      <c r="AA98" s="40"/>
      <c r="AB98" s="40"/>
      <c r="AC98" s="48"/>
      <c r="AD98" s="40"/>
      <c r="AE98" s="22" t="s">
        <v>708</v>
      </c>
      <c r="AF98" s="40"/>
      <c r="AG98" s="21"/>
      <c r="AH98" s="40"/>
      <c r="AI98" s="21"/>
      <c r="AJ98" s="231">
        <f>+SUM(B115:AL115)</f>
        <v>15955</v>
      </c>
      <c r="AK98" s="232"/>
      <c r="AL98" s="23" t="s">
        <v>1</v>
      </c>
    </row>
    <row r="99" spans="1:38" s="11" customFormat="1" ht="13.5" customHeight="1">
      <c r="A99" s="230"/>
      <c r="B99" s="22"/>
      <c r="C99" s="22"/>
      <c r="D99" s="40"/>
      <c r="E99" s="40"/>
      <c r="F99" s="194" t="s">
        <v>1506</v>
      </c>
      <c r="H99" s="48"/>
      <c r="I99" s="40"/>
      <c r="J99" s="40"/>
      <c r="K99" s="22" t="s">
        <v>662</v>
      </c>
      <c r="L99" s="40"/>
      <c r="M99" s="21"/>
      <c r="N99" s="40"/>
      <c r="O99" s="48"/>
      <c r="P99" s="40"/>
      <c r="Q99" s="40"/>
      <c r="R99" s="22" t="s">
        <v>705</v>
      </c>
      <c r="S99" s="40"/>
      <c r="T99" s="40"/>
      <c r="U99" s="40"/>
      <c r="V99" s="48"/>
      <c r="W99" s="40"/>
      <c r="X99" s="40"/>
      <c r="Y99" s="40"/>
      <c r="Z99" s="40"/>
      <c r="AA99" s="40"/>
      <c r="AB99" s="40"/>
      <c r="AC99" s="48"/>
      <c r="AD99" s="40"/>
      <c r="AE99" s="50" t="s">
        <v>689</v>
      </c>
      <c r="AF99" s="40"/>
      <c r="AG99" s="21"/>
      <c r="AH99" s="40"/>
      <c r="AI99" s="21"/>
      <c r="AJ99" s="48"/>
      <c r="AL99" s="61"/>
    </row>
    <row r="100" spans="1:38" s="11" customFormat="1" ht="13.5" customHeight="1">
      <c r="A100" s="230"/>
      <c r="B100" s="22"/>
      <c r="C100" s="22"/>
      <c r="D100" s="40"/>
      <c r="E100" s="40"/>
      <c r="F100" s="195" t="s">
        <v>1365</v>
      </c>
      <c r="H100" s="48"/>
      <c r="I100" s="40"/>
      <c r="J100" s="40"/>
      <c r="K100" s="22" t="s">
        <v>663</v>
      </c>
      <c r="L100" s="40"/>
      <c r="M100" s="21"/>
      <c r="N100" s="40"/>
      <c r="O100" s="48"/>
      <c r="P100" s="40"/>
      <c r="Q100" s="40"/>
      <c r="R100" s="22" t="s">
        <v>706</v>
      </c>
      <c r="S100" s="40"/>
      <c r="T100" s="40"/>
      <c r="U100" s="40"/>
      <c r="V100" s="48"/>
      <c r="W100" s="40"/>
      <c r="X100" s="40"/>
      <c r="Y100" s="40"/>
      <c r="Z100" s="40"/>
      <c r="AA100" s="40"/>
      <c r="AB100" s="40"/>
      <c r="AC100" s="48"/>
      <c r="AD100" s="40"/>
      <c r="AE100" s="22" t="s">
        <v>692</v>
      </c>
      <c r="AF100" s="40"/>
      <c r="AG100" s="21"/>
      <c r="AH100" s="40"/>
      <c r="AI100" s="21"/>
      <c r="AJ100" s="48"/>
      <c r="AK100" s="58"/>
      <c r="AL100" s="61"/>
    </row>
    <row r="101" spans="1:38" s="11" customFormat="1" ht="13.5" customHeight="1">
      <c r="A101" s="230"/>
      <c r="B101" s="91"/>
      <c r="C101" s="22"/>
      <c r="D101" s="40"/>
      <c r="E101" s="40"/>
      <c r="F101" s="21"/>
      <c r="H101" s="48"/>
      <c r="I101" s="40"/>
      <c r="J101" s="40"/>
      <c r="K101" s="50" t="s">
        <v>1231</v>
      </c>
      <c r="L101" s="40"/>
      <c r="M101" s="21"/>
      <c r="N101" s="40"/>
      <c r="O101" s="48"/>
      <c r="P101" s="40"/>
      <c r="Q101" s="40"/>
      <c r="R101" s="22" t="s">
        <v>707</v>
      </c>
      <c r="S101" s="40"/>
      <c r="T101" s="40"/>
      <c r="U101" s="40"/>
      <c r="V101" s="48"/>
      <c r="W101" s="40"/>
      <c r="X101" s="40"/>
      <c r="Y101" s="40"/>
      <c r="Z101" s="40"/>
      <c r="AA101" s="40"/>
      <c r="AB101" s="40"/>
      <c r="AC101" s="48"/>
      <c r="AD101" s="40"/>
      <c r="AE101" s="22" t="s">
        <v>693</v>
      </c>
      <c r="AF101" s="40"/>
      <c r="AG101" s="21"/>
      <c r="AH101" s="40"/>
      <c r="AI101" s="21"/>
      <c r="AJ101" s="48"/>
      <c r="AK101" s="156"/>
      <c r="AL101" s="61"/>
    </row>
    <row r="102" spans="1:38" s="11" customFormat="1" ht="13.5" customHeight="1">
      <c r="A102" s="230"/>
      <c r="B102" s="168" t="s">
        <v>1317</v>
      </c>
      <c r="C102" s="22"/>
      <c r="D102" s="40"/>
      <c r="E102" s="40"/>
      <c r="F102" s="21"/>
      <c r="G102" s="21"/>
      <c r="H102" s="48"/>
      <c r="I102" s="40"/>
      <c r="J102" s="40"/>
      <c r="K102" s="22" t="s">
        <v>669</v>
      </c>
      <c r="L102" s="40"/>
      <c r="M102" s="21"/>
      <c r="N102" s="40"/>
      <c r="O102" s="48"/>
      <c r="P102" s="40"/>
      <c r="Q102" s="40"/>
      <c r="R102" s="22" t="s">
        <v>697</v>
      </c>
      <c r="S102" s="40"/>
      <c r="T102" s="40"/>
      <c r="U102" s="40"/>
      <c r="V102" s="48"/>
      <c r="W102" s="40"/>
      <c r="X102" s="40"/>
      <c r="Y102" s="40"/>
      <c r="Z102" s="40"/>
      <c r="AA102" s="40"/>
      <c r="AB102" s="40"/>
      <c r="AC102" s="48"/>
      <c r="AD102" s="40"/>
      <c r="AE102" s="91"/>
      <c r="AF102" s="40"/>
      <c r="AG102" s="40"/>
      <c r="AH102" s="40"/>
      <c r="AI102" s="40"/>
      <c r="AJ102" s="48"/>
      <c r="AK102" s="156"/>
      <c r="AL102" s="61"/>
    </row>
    <row r="103" spans="1:38" s="11" customFormat="1" ht="13.5" customHeight="1">
      <c r="A103" s="230"/>
      <c r="B103" s="91"/>
      <c r="C103" s="22"/>
      <c r="D103" s="40"/>
      <c r="E103" s="21"/>
      <c r="F103" s="21"/>
      <c r="G103" s="21"/>
      <c r="H103" s="48"/>
      <c r="I103" s="40"/>
      <c r="J103" s="40"/>
      <c r="K103" s="22" t="s">
        <v>670</v>
      </c>
      <c r="L103" s="40"/>
      <c r="M103" s="21"/>
      <c r="N103" s="40"/>
      <c r="O103" s="48"/>
      <c r="P103" s="40"/>
      <c r="Q103" s="40"/>
      <c r="R103" s="22" t="s">
        <v>698</v>
      </c>
      <c r="S103" s="40"/>
      <c r="T103" s="40"/>
      <c r="U103" s="40"/>
      <c r="V103" s="48"/>
      <c r="W103" s="40"/>
      <c r="X103" s="40"/>
      <c r="Y103" s="40"/>
      <c r="Z103" s="40"/>
      <c r="AA103" s="40"/>
      <c r="AB103" s="40"/>
      <c r="AC103" s="48"/>
      <c r="AD103" s="40"/>
      <c r="AE103" s="40"/>
      <c r="AF103" s="40"/>
      <c r="AG103" s="40"/>
      <c r="AH103" s="40"/>
      <c r="AI103" s="40"/>
      <c r="AJ103" s="48"/>
      <c r="AK103" s="156"/>
      <c r="AL103" s="61"/>
    </row>
    <row r="104" spans="1:38" s="11" customFormat="1" ht="13.5" customHeight="1">
      <c r="A104" s="230"/>
      <c r="B104" s="91"/>
      <c r="C104" s="22"/>
      <c r="D104" s="40"/>
      <c r="E104" s="21"/>
      <c r="F104" s="21"/>
      <c r="G104" s="21"/>
      <c r="H104" s="48"/>
      <c r="I104" s="40"/>
      <c r="J104" s="40"/>
      <c r="K104" s="50" t="s">
        <v>664</v>
      </c>
      <c r="L104" s="40"/>
      <c r="M104" s="21"/>
      <c r="N104" s="40"/>
      <c r="O104" s="48"/>
      <c r="P104" s="40"/>
      <c r="Q104" s="40"/>
      <c r="R104" s="22" t="s">
        <v>699</v>
      </c>
      <c r="S104" s="40"/>
      <c r="T104" s="40"/>
      <c r="U104" s="40"/>
      <c r="V104" s="48"/>
      <c r="W104" s="40"/>
      <c r="X104" s="50"/>
      <c r="Y104" s="40"/>
      <c r="Z104" s="21"/>
      <c r="AA104" s="40"/>
      <c r="AB104" s="21"/>
      <c r="AC104" s="48"/>
      <c r="AD104" s="40"/>
      <c r="AE104" s="40"/>
      <c r="AF104" s="50"/>
      <c r="AG104" s="40"/>
      <c r="AH104" s="40"/>
      <c r="AI104" s="40"/>
      <c r="AJ104" s="48"/>
      <c r="AK104" s="156"/>
      <c r="AL104" s="61"/>
    </row>
    <row r="105" spans="1:38" s="11" customFormat="1" ht="13.5" customHeight="1">
      <c r="A105" s="230"/>
      <c r="B105" s="91"/>
      <c r="C105" s="22"/>
      <c r="D105" s="40"/>
      <c r="E105" s="21"/>
      <c r="F105" s="21"/>
      <c r="G105" s="21"/>
      <c r="H105" s="48"/>
      <c r="I105" s="40"/>
      <c r="J105" s="40"/>
      <c r="K105" s="22" t="s">
        <v>665</v>
      </c>
      <c r="L105" s="40"/>
      <c r="M105" s="21"/>
      <c r="N105" s="40"/>
      <c r="O105" s="48"/>
      <c r="P105" s="40"/>
      <c r="Q105" s="40"/>
      <c r="R105" s="22" t="s">
        <v>700</v>
      </c>
      <c r="S105" s="40"/>
      <c r="T105" s="40"/>
      <c r="U105" s="40"/>
      <c r="V105" s="48"/>
      <c r="W105" s="40"/>
      <c r="Y105" s="40"/>
      <c r="Z105" s="40"/>
      <c r="AA105" s="40"/>
      <c r="AB105" s="40"/>
      <c r="AC105" s="48"/>
      <c r="AD105" s="40"/>
      <c r="AE105" s="40"/>
      <c r="AF105" s="40"/>
      <c r="AG105" s="40"/>
      <c r="AH105" s="40"/>
      <c r="AI105" s="40"/>
      <c r="AJ105" s="48"/>
      <c r="AK105" s="156"/>
      <c r="AL105" s="61"/>
    </row>
    <row r="106" spans="1:38" s="11" customFormat="1" ht="13.5" customHeight="1">
      <c r="A106" s="230"/>
      <c r="B106" s="91"/>
      <c r="C106" s="22"/>
      <c r="D106" s="40"/>
      <c r="E106" s="40"/>
      <c r="F106" s="21"/>
      <c r="G106" s="21"/>
      <c r="H106" s="48"/>
      <c r="I106" s="40"/>
      <c r="J106" s="40"/>
      <c r="K106" s="175" t="s">
        <v>1252</v>
      </c>
      <c r="L106" s="40"/>
      <c r="M106" s="21"/>
      <c r="N106" s="40"/>
      <c r="O106" s="48"/>
      <c r="P106" s="40"/>
      <c r="Q106" s="40"/>
      <c r="R106" s="22" t="s">
        <v>1088</v>
      </c>
      <c r="S106" s="40"/>
      <c r="T106" s="21"/>
      <c r="U106" s="40"/>
      <c r="V106" s="48"/>
      <c r="W106" s="40"/>
      <c r="X106" s="40"/>
      <c r="Y106" s="40"/>
      <c r="Z106" s="40"/>
      <c r="AA106" s="40"/>
      <c r="AB106" s="40"/>
      <c r="AC106" s="48"/>
      <c r="AD106" s="40"/>
      <c r="AE106" s="40"/>
      <c r="AF106" s="40"/>
      <c r="AG106" s="40"/>
      <c r="AH106" s="40"/>
      <c r="AI106" s="40"/>
      <c r="AJ106" s="48"/>
      <c r="AK106" s="156"/>
      <c r="AL106" s="61"/>
    </row>
    <row r="107" spans="1:38" s="11" customFormat="1" ht="13.5" customHeight="1">
      <c r="A107" s="230"/>
      <c r="B107" s="91"/>
      <c r="C107" s="22"/>
      <c r="D107" s="40"/>
      <c r="E107" s="40"/>
      <c r="F107" s="21"/>
      <c r="G107" s="21"/>
      <c r="H107" s="48"/>
      <c r="I107" s="40"/>
      <c r="J107" s="40"/>
      <c r="K107" s="22" t="s">
        <v>666</v>
      </c>
      <c r="L107" s="40"/>
      <c r="M107" s="21"/>
      <c r="N107" s="40"/>
      <c r="O107" s="48"/>
      <c r="P107" s="40"/>
      <c r="Q107" s="40"/>
      <c r="R107" s="22" t="s">
        <v>1089</v>
      </c>
      <c r="S107" s="40"/>
      <c r="T107" s="21"/>
      <c r="U107" s="40"/>
      <c r="V107" s="48"/>
      <c r="W107" s="40"/>
      <c r="X107" s="40"/>
      <c r="Y107" s="40"/>
      <c r="Z107" s="40"/>
      <c r="AA107" s="21"/>
      <c r="AB107" s="40"/>
      <c r="AC107" s="48"/>
      <c r="AD107" s="40"/>
      <c r="AE107" s="40"/>
      <c r="AF107" s="40"/>
      <c r="AG107" s="40"/>
      <c r="AH107" s="40"/>
      <c r="AI107" s="40"/>
      <c r="AJ107" s="48"/>
      <c r="AK107" s="156"/>
      <c r="AL107" s="61"/>
    </row>
    <row r="108" spans="1:38" s="11" customFormat="1" ht="13.5" customHeight="1">
      <c r="A108" s="230"/>
      <c r="B108" s="91"/>
      <c r="C108" s="22"/>
      <c r="D108" s="40"/>
      <c r="E108" s="40"/>
      <c r="F108" s="21"/>
      <c r="G108" s="21"/>
      <c r="H108" s="48"/>
      <c r="I108" s="40"/>
      <c r="J108" s="40"/>
      <c r="K108" s="175" t="s">
        <v>1253</v>
      </c>
      <c r="L108" s="40"/>
      <c r="M108" s="21"/>
      <c r="N108" s="40"/>
      <c r="O108" s="48"/>
      <c r="P108" s="40"/>
      <c r="Q108" s="40"/>
      <c r="R108" s="171" t="s">
        <v>1243</v>
      </c>
      <c r="S108" s="40"/>
      <c r="T108" s="21"/>
      <c r="U108" s="40"/>
      <c r="V108" s="48"/>
      <c r="W108" s="40"/>
      <c r="X108" s="40"/>
      <c r="Y108" s="40"/>
      <c r="Z108" s="40"/>
      <c r="AA108" s="21"/>
      <c r="AB108" s="40"/>
      <c r="AC108" s="48"/>
      <c r="AD108" s="40"/>
      <c r="AE108" s="40"/>
      <c r="AF108" s="40"/>
      <c r="AG108" s="40"/>
      <c r="AH108" s="40"/>
      <c r="AI108" s="40"/>
      <c r="AJ108" s="48"/>
      <c r="AK108" s="156"/>
      <c r="AL108" s="61"/>
    </row>
    <row r="109" spans="1:38" s="11" customFormat="1" ht="13.5" customHeight="1">
      <c r="A109" s="230"/>
      <c r="B109" s="91"/>
      <c r="C109" s="22"/>
      <c r="D109" s="40"/>
      <c r="E109" s="40"/>
      <c r="F109" s="21"/>
      <c r="G109" s="21"/>
      <c r="H109" s="48"/>
      <c r="I109" s="40"/>
      <c r="J109" s="40"/>
      <c r="K109" s="22" t="s">
        <v>667</v>
      </c>
      <c r="L109" s="40"/>
      <c r="M109" s="21"/>
      <c r="N109" s="40"/>
      <c r="O109" s="48"/>
      <c r="P109" s="40"/>
      <c r="Q109" s="40"/>
      <c r="R109" s="40"/>
      <c r="S109" s="40"/>
      <c r="T109" s="21"/>
      <c r="U109" s="40"/>
      <c r="V109" s="48"/>
      <c r="W109" s="40"/>
      <c r="X109" s="40"/>
      <c r="Y109" s="40"/>
      <c r="Z109" s="40"/>
      <c r="AA109" s="21"/>
      <c r="AB109" s="40"/>
      <c r="AC109" s="48"/>
      <c r="AD109" s="40"/>
      <c r="AE109" s="40"/>
      <c r="AF109" s="40"/>
      <c r="AG109" s="40"/>
      <c r="AH109" s="40"/>
      <c r="AI109" s="40"/>
      <c r="AJ109" s="48"/>
      <c r="AK109" s="156"/>
      <c r="AL109" s="61"/>
    </row>
    <row r="110" spans="1:38" s="11" customFormat="1" ht="13.5" customHeight="1">
      <c r="A110" s="230"/>
      <c r="B110" s="91"/>
      <c r="C110" s="22"/>
      <c r="D110" s="40"/>
      <c r="E110" s="40"/>
      <c r="F110" s="21"/>
      <c r="G110" s="21"/>
      <c r="H110" s="48"/>
      <c r="I110" s="40"/>
      <c r="J110" s="40"/>
      <c r="K110" s="175" t="s">
        <v>1254</v>
      </c>
      <c r="L110" s="40"/>
      <c r="M110" s="21"/>
      <c r="N110" s="40"/>
      <c r="O110" s="48"/>
      <c r="P110" s="40"/>
      <c r="Q110" s="40"/>
      <c r="R110" s="40"/>
      <c r="S110" s="40"/>
      <c r="T110" s="21"/>
      <c r="U110" s="40"/>
      <c r="V110" s="48"/>
      <c r="W110" s="40"/>
      <c r="X110" s="40"/>
      <c r="Y110" s="40"/>
      <c r="Z110" s="40"/>
      <c r="AA110" s="21"/>
      <c r="AB110" s="40"/>
      <c r="AC110" s="48"/>
      <c r="AD110" s="40"/>
      <c r="AE110" s="40"/>
      <c r="AF110" s="40"/>
      <c r="AG110" s="40"/>
      <c r="AH110" s="91"/>
      <c r="AI110" s="40"/>
      <c r="AJ110" s="48"/>
      <c r="AK110" s="156"/>
      <c r="AL110" s="61"/>
    </row>
    <row r="111" spans="1:38" s="11" customFormat="1" ht="13.5" customHeight="1">
      <c r="A111" s="230"/>
      <c r="B111" s="91"/>
      <c r="C111" s="22"/>
      <c r="D111" s="40"/>
      <c r="E111" s="21"/>
      <c r="F111" s="21"/>
      <c r="G111" s="21"/>
      <c r="H111" s="48"/>
      <c r="I111" s="40"/>
      <c r="J111" s="40"/>
      <c r="K111" s="22" t="s">
        <v>668</v>
      </c>
      <c r="L111" s="40"/>
      <c r="M111" s="21"/>
      <c r="N111" s="40"/>
      <c r="O111" s="48"/>
      <c r="P111" s="40"/>
      <c r="Q111" s="40"/>
      <c r="R111" s="40"/>
      <c r="S111" s="40"/>
      <c r="T111" s="21"/>
      <c r="U111" s="40"/>
      <c r="V111" s="48"/>
      <c r="W111" s="40"/>
      <c r="X111" s="40"/>
      <c r="Y111" s="40"/>
      <c r="Z111" s="40"/>
      <c r="AA111" s="40"/>
      <c r="AB111" s="40"/>
      <c r="AC111" s="48"/>
      <c r="AD111" s="40"/>
      <c r="AE111" s="40"/>
      <c r="AF111" s="40"/>
      <c r="AG111" s="40"/>
      <c r="AH111" s="91"/>
      <c r="AI111" s="40"/>
      <c r="AJ111" s="48"/>
      <c r="AK111" s="156"/>
      <c r="AL111" s="61"/>
    </row>
    <row r="112" spans="1:38" s="11" customFormat="1" ht="13.5" customHeight="1">
      <c r="A112" s="230"/>
      <c r="B112" s="91"/>
      <c r="C112" s="22"/>
      <c r="D112" s="40"/>
      <c r="E112" s="21"/>
      <c r="F112" s="21"/>
      <c r="G112" s="21"/>
      <c r="H112" s="48"/>
      <c r="I112" s="40"/>
      <c r="J112" s="40"/>
      <c r="K112" s="50" t="s">
        <v>671</v>
      </c>
      <c r="L112" s="40"/>
      <c r="M112" s="21"/>
      <c r="N112" s="40"/>
      <c r="O112" s="48"/>
      <c r="P112" s="40"/>
      <c r="Q112" s="40"/>
      <c r="R112" s="40"/>
      <c r="S112" s="40"/>
      <c r="T112" s="21"/>
      <c r="U112" s="40"/>
      <c r="V112" s="48"/>
      <c r="W112" s="40"/>
      <c r="X112" s="40"/>
      <c r="Y112" s="40"/>
      <c r="Z112" s="40"/>
      <c r="AA112" s="40"/>
      <c r="AB112" s="40"/>
      <c r="AC112" s="48"/>
      <c r="AD112" s="40"/>
      <c r="AE112" s="40"/>
      <c r="AF112" s="40"/>
      <c r="AG112" s="40"/>
      <c r="AH112" s="91"/>
      <c r="AI112" s="40"/>
      <c r="AJ112" s="48"/>
      <c r="AK112" s="156"/>
      <c r="AL112" s="61"/>
    </row>
    <row r="113" spans="1:38" s="11" customFormat="1" ht="13.5" customHeight="1">
      <c r="A113" s="230"/>
      <c r="B113" s="91"/>
      <c r="C113" s="22"/>
      <c r="D113" s="40"/>
      <c r="E113" s="21"/>
      <c r="F113" s="21"/>
      <c r="G113" s="21"/>
      <c r="H113" s="48"/>
      <c r="I113" s="40"/>
      <c r="J113" s="40"/>
      <c r="K113" s="22" t="s">
        <v>672</v>
      </c>
      <c r="L113" s="40"/>
      <c r="M113" s="21"/>
      <c r="N113" s="40"/>
      <c r="O113" s="48"/>
      <c r="P113" s="40"/>
      <c r="Q113" s="40"/>
      <c r="R113" s="40"/>
      <c r="S113" s="40"/>
      <c r="T113" s="21"/>
      <c r="U113" s="40"/>
      <c r="V113" s="48"/>
      <c r="W113" s="40"/>
      <c r="X113" s="40"/>
      <c r="Y113" s="40"/>
      <c r="Z113" s="40"/>
      <c r="AA113" s="40"/>
      <c r="AB113" s="40"/>
      <c r="AC113" s="48"/>
      <c r="AD113" s="40"/>
      <c r="AE113" s="40"/>
      <c r="AF113" s="40"/>
      <c r="AG113" s="40"/>
      <c r="AH113" s="91"/>
      <c r="AI113" s="40"/>
      <c r="AJ113" s="48"/>
      <c r="AK113" s="156"/>
      <c r="AL113" s="61"/>
    </row>
    <row r="114" spans="1:38" s="11" customFormat="1" ht="13.5" customHeight="1">
      <c r="A114" s="230"/>
      <c r="B114" s="91"/>
      <c r="C114" s="22"/>
      <c r="D114" s="40"/>
      <c r="E114" s="21"/>
      <c r="F114" s="21"/>
      <c r="G114" s="21"/>
      <c r="H114" s="48"/>
      <c r="I114" s="40"/>
      <c r="J114" s="40"/>
      <c r="K114" s="164" t="s">
        <v>1173</v>
      </c>
      <c r="L114" s="40"/>
      <c r="M114" s="21"/>
      <c r="N114" s="40"/>
      <c r="O114" s="48"/>
      <c r="P114" s="40"/>
      <c r="Q114" s="40"/>
      <c r="R114" s="40"/>
      <c r="S114" s="40"/>
      <c r="T114" s="21"/>
      <c r="U114" s="40"/>
      <c r="V114" s="48"/>
      <c r="W114" s="40"/>
      <c r="X114" s="40"/>
      <c r="Y114" s="40"/>
      <c r="Z114" s="40"/>
      <c r="AA114" s="40"/>
      <c r="AB114" s="40"/>
      <c r="AC114" s="48"/>
      <c r="AE114" s="40"/>
      <c r="AF114" s="40"/>
      <c r="AG114" s="40"/>
      <c r="AH114" s="91"/>
      <c r="AI114" s="40"/>
      <c r="AJ114" s="48"/>
      <c r="AK114" s="156"/>
      <c r="AL114" s="61"/>
    </row>
    <row r="115" spans="1:38" s="11" customFormat="1" ht="15.75" customHeight="1">
      <c r="A115" s="230"/>
      <c r="B115" s="24"/>
      <c r="C115" s="56"/>
      <c r="D115" s="24"/>
      <c r="E115" s="56"/>
      <c r="F115" s="24"/>
      <c r="G115" s="24"/>
      <c r="H115" s="25"/>
      <c r="I115" s="24"/>
      <c r="J115" s="24"/>
      <c r="K115" s="233">
        <f>212+310+746+127+519+320+316+152+152+260+263+312+138+111+455+420</f>
        <v>4813</v>
      </c>
      <c r="L115" s="234"/>
      <c r="M115" s="24"/>
      <c r="N115" s="24"/>
      <c r="O115" s="56"/>
      <c r="P115" s="24"/>
      <c r="Q115" s="242">
        <f>376+264+2+962+121+353+558+202+236+307+303+300+765+613+140+1799</f>
        <v>7301</v>
      </c>
      <c r="R115" s="243"/>
      <c r="S115" s="56"/>
      <c r="T115" s="24"/>
      <c r="U115" s="24"/>
      <c r="V115" s="25"/>
      <c r="W115" s="56"/>
      <c r="X115" s="24"/>
      <c r="Y115" s="24"/>
      <c r="Z115" s="24"/>
      <c r="AA115" s="24"/>
      <c r="AB115" s="24"/>
      <c r="AC115" s="24"/>
      <c r="AD115" s="242">
        <f>389+419+345+396+650+630+300+412+300</f>
        <v>3841</v>
      </c>
      <c r="AE115" s="243"/>
      <c r="AF115" s="24"/>
      <c r="AG115" s="56"/>
      <c r="AH115" s="24"/>
      <c r="AI115" s="24"/>
      <c r="AJ115" s="24"/>
      <c r="AK115" s="24"/>
      <c r="AL115" s="64"/>
    </row>
    <row r="116" spans="1:38" s="11" customFormat="1" ht="2.25" customHeight="1">
      <c r="A116" s="26"/>
      <c r="B116" s="27"/>
      <c r="C116" s="27"/>
      <c r="D116" s="27"/>
      <c r="E116" s="28"/>
      <c r="F116" s="27"/>
      <c r="G116" s="27"/>
      <c r="H116" s="27"/>
      <c r="I116" s="27"/>
      <c r="J116" s="44"/>
      <c r="K116" s="44"/>
      <c r="L116" s="44"/>
      <c r="M116" s="44"/>
      <c r="N116" s="44"/>
      <c r="O116" s="27"/>
      <c r="P116" s="27"/>
      <c r="Q116" s="44"/>
      <c r="R116" s="44"/>
      <c r="S116" s="44"/>
      <c r="T116" s="44"/>
      <c r="U116" s="44"/>
      <c r="V116" s="27"/>
      <c r="W116" s="27"/>
      <c r="X116" s="44"/>
      <c r="Y116" s="44"/>
      <c r="Z116" s="44"/>
      <c r="AA116" s="44"/>
      <c r="AB116" s="44"/>
      <c r="AC116" s="27"/>
      <c r="AD116" s="27"/>
      <c r="AE116" s="44"/>
      <c r="AF116" s="44"/>
      <c r="AG116" s="44"/>
      <c r="AH116" s="44"/>
      <c r="AI116" s="44"/>
      <c r="AJ116" s="30"/>
      <c r="AK116" s="44"/>
      <c r="AL116" s="30"/>
    </row>
    <row r="117" spans="1:38" s="57" customFormat="1" ht="32.25" customHeight="1">
      <c r="A117" s="236" t="s">
        <v>2</v>
      </c>
      <c r="B117" s="38" t="s">
        <v>3</v>
      </c>
      <c r="C117" s="32"/>
      <c r="D117" s="31"/>
      <c r="E117" s="31"/>
      <c r="F117" s="32"/>
      <c r="G117" s="32"/>
      <c r="H117" s="32"/>
      <c r="I117" s="238" t="s">
        <v>4</v>
      </c>
      <c r="J117" s="32"/>
      <c r="K117" s="32"/>
      <c r="L117" s="32"/>
      <c r="M117" s="32"/>
      <c r="N117" s="32"/>
      <c r="O117" s="32"/>
      <c r="P117" s="238" t="s">
        <v>5</v>
      </c>
      <c r="Q117" s="32"/>
      <c r="R117" s="32"/>
      <c r="S117" s="32"/>
      <c r="T117" s="32"/>
      <c r="U117" s="32"/>
      <c r="V117" s="32"/>
      <c r="W117" s="238" t="s">
        <v>6</v>
      </c>
      <c r="X117" s="32"/>
      <c r="Y117" s="32"/>
      <c r="Z117" s="32"/>
      <c r="AA117" s="32"/>
      <c r="AB117" s="32"/>
      <c r="AC117" s="32"/>
      <c r="AD117" s="238" t="s">
        <v>46</v>
      </c>
      <c r="AE117" s="32"/>
      <c r="AF117" s="32"/>
      <c r="AG117" s="32"/>
      <c r="AH117" s="32"/>
      <c r="AI117" s="32"/>
      <c r="AJ117" s="32"/>
      <c r="AK117" s="32"/>
      <c r="AL117" s="33"/>
    </row>
    <row r="118" spans="1:38" s="57" customFormat="1" ht="32.25" customHeight="1" thickBot="1">
      <c r="A118" s="237"/>
      <c r="B118" s="39" t="s">
        <v>7</v>
      </c>
      <c r="C118" s="35"/>
      <c r="D118" s="34"/>
      <c r="E118" s="34"/>
      <c r="F118" s="35"/>
      <c r="G118" s="35"/>
      <c r="H118" s="35"/>
      <c r="I118" s="239"/>
      <c r="J118" s="35"/>
      <c r="K118" s="35"/>
      <c r="L118" s="35"/>
      <c r="M118" s="35"/>
      <c r="N118" s="35"/>
      <c r="O118" s="35"/>
      <c r="P118" s="239"/>
      <c r="Q118" s="35"/>
      <c r="R118" s="35"/>
      <c r="S118" s="35"/>
      <c r="T118" s="35"/>
      <c r="U118" s="35"/>
      <c r="V118" s="35"/>
      <c r="W118" s="239"/>
      <c r="X118" s="35"/>
      <c r="Y118" s="35"/>
      <c r="Z118" s="35"/>
      <c r="AA118" s="35"/>
      <c r="AB118" s="35"/>
      <c r="AC118" s="35"/>
      <c r="AD118" s="239"/>
      <c r="AE118" s="35"/>
      <c r="AF118" s="35"/>
      <c r="AG118" s="35"/>
      <c r="AH118" s="35"/>
      <c r="AI118" s="35"/>
      <c r="AJ118" s="35"/>
      <c r="AK118" s="35"/>
      <c r="AL118" s="36"/>
    </row>
  </sheetData>
  <mergeCells count="27">
    <mergeCell ref="A26:A45"/>
    <mergeCell ref="AJ34:AK34"/>
    <mergeCell ref="G45:H45"/>
    <mergeCell ref="AH45:AI45"/>
    <mergeCell ref="N45:O45"/>
    <mergeCell ref="X45:Y45"/>
    <mergeCell ref="A9:A20"/>
    <mergeCell ref="AJ15:AK15"/>
    <mergeCell ref="G20:H20"/>
    <mergeCell ref="M20:N20"/>
    <mergeCell ref="S20:T20"/>
    <mergeCell ref="AD20:AE20"/>
    <mergeCell ref="A51:A115"/>
    <mergeCell ref="AJ67:AK67"/>
    <mergeCell ref="R85:S85"/>
    <mergeCell ref="AJ98:AK98"/>
    <mergeCell ref="K85:L85"/>
    <mergeCell ref="AA85:AB85"/>
    <mergeCell ref="Q115:R115"/>
    <mergeCell ref="K115:L115"/>
    <mergeCell ref="G85:H85"/>
    <mergeCell ref="AD115:AE115"/>
    <mergeCell ref="A117:A118"/>
    <mergeCell ref="I117:I118"/>
    <mergeCell ref="P117:P118"/>
    <mergeCell ref="W117:W118"/>
    <mergeCell ref="AD117:AD118"/>
  </mergeCells>
  <phoneticPr fontId="48" type="noConversion"/>
  <conditionalFormatting sqref="N35">
    <cfRule type="duplicateValues" dxfId="10" priority="4"/>
  </conditionalFormatting>
  <conditionalFormatting sqref="AA26">
    <cfRule type="duplicateValues" dxfId="9" priority="2"/>
  </conditionalFormatting>
  <conditionalFormatting sqref="AD26">
    <cfRule type="duplicateValues" dxfId="8" priority="3"/>
  </conditionalFormatting>
  <conditionalFormatting sqref="AH28">
    <cfRule type="duplicateValues" dxfId="7" priority="1"/>
  </conditionalFormatting>
  <printOptions horizontalCentered="1"/>
  <pageMargins left="0" right="0" top="0" bottom="0" header="0" footer="0"/>
  <pageSetup paperSize="9" scale="3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O75"/>
  <sheetViews>
    <sheetView zoomScale="75" zoomScaleNormal="75" workbookViewId="0">
      <pane ySplit="4" topLeftCell="A35" activePane="bottomLeft" state="frozen"/>
      <selection activeCell="X50" sqref="X50"/>
      <selection pane="bottomLeft" activeCell="X18" sqref="X18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39" s="4" customFormat="1" ht="22">
      <c r="A1" s="3"/>
      <c r="B1" s="7"/>
      <c r="Q1" s="1" t="s">
        <v>1218</v>
      </c>
      <c r="AJ1" s="5" t="s">
        <v>1645</v>
      </c>
    </row>
    <row r="2" spans="1:39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39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39" s="11" customFormat="1" ht="17.25" customHeight="1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39" s="11" customFormat="1" ht="16.5" customHeight="1">
      <c r="A5" s="12" t="s">
        <v>0</v>
      </c>
      <c r="B5" s="16"/>
      <c r="C5" s="16"/>
      <c r="D5" s="16"/>
      <c r="E5" s="16"/>
      <c r="F5" s="16"/>
      <c r="G5" s="68">
        <v>730</v>
      </c>
      <c r="H5" s="25"/>
      <c r="I5" s="68">
        <v>880</v>
      </c>
      <c r="J5" s="16">
        <v>1430</v>
      </c>
      <c r="K5" s="16">
        <v>1430</v>
      </c>
      <c r="L5" s="16">
        <v>1430</v>
      </c>
      <c r="M5" s="16">
        <v>1430</v>
      </c>
      <c r="N5" s="16">
        <v>1040</v>
      </c>
      <c r="O5" s="25"/>
      <c r="P5" s="16">
        <v>1080</v>
      </c>
      <c r="Q5" s="51">
        <v>1280</v>
      </c>
      <c r="R5" s="16">
        <v>1490</v>
      </c>
      <c r="S5" s="16">
        <v>1280</v>
      </c>
      <c r="T5" s="16">
        <v>1490</v>
      </c>
      <c r="U5" s="16">
        <v>1280</v>
      </c>
      <c r="V5" s="25"/>
      <c r="W5" s="68">
        <v>1200</v>
      </c>
      <c r="X5" s="68">
        <v>1200</v>
      </c>
      <c r="Y5" s="16">
        <v>1330</v>
      </c>
      <c r="Z5" s="16">
        <v>1330</v>
      </c>
      <c r="AA5" s="16">
        <v>1330</v>
      </c>
      <c r="AB5" s="68">
        <v>900</v>
      </c>
      <c r="AC5" s="25"/>
      <c r="AD5" s="68">
        <v>1090</v>
      </c>
      <c r="AE5" s="16">
        <v>1280</v>
      </c>
      <c r="AF5" s="16">
        <v>1280</v>
      </c>
      <c r="AG5" s="16">
        <v>1280</v>
      </c>
      <c r="AH5" s="51">
        <v>1280</v>
      </c>
      <c r="AI5" s="16">
        <v>1080</v>
      </c>
      <c r="AJ5" s="25"/>
      <c r="AK5" s="16">
        <v>1080</v>
      </c>
      <c r="AL5" s="16">
        <v>1080</v>
      </c>
      <c r="AM5" s="17">
        <f>+SUM(B5:AL5)</f>
        <v>33010</v>
      </c>
    </row>
    <row r="6" spans="1:39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8">
        <v>11</v>
      </c>
      <c r="J6" s="18">
        <v>11</v>
      </c>
      <c r="K6" s="18">
        <v>11</v>
      </c>
      <c r="L6" s="18">
        <v>11</v>
      </c>
      <c r="M6" s="18">
        <v>8</v>
      </c>
      <c r="N6" s="18">
        <v>8</v>
      </c>
      <c r="O6" s="25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92">
        <v>9.5</v>
      </c>
      <c r="X6" s="192">
        <v>9.5</v>
      </c>
      <c r="Y6" s="192">
        <v>9.5</v>
      </c>
      <c r="Z6" s="192">
        <v>9.5</v>
      </c>
      <c r="AA6" s="192">
        <v>9.5</v>
      </c>
      <c r="AB6" s="192">
        <v>9.5</v>
      </c>
      <c r="AC6" s="193"/>
      <c r="AD6" s="192">
        <v>9.5</v>
      </c>
      <c r="AE6" s="192">
        <v>9.5</v>
      </c>
      <c r="AF6" s="192">
        <v>9.5</v>
      </c>
      <c r="AG6" s="192">
        <v>9.5</v>
      </c>
      <c r="AH6" s="18">
        <v>8</v>
      </c>
      <c r="AI6" s="18">
        <v>8</v>
      </c>
      <c r="AJ6" s="25"/>
      <c r="AK6" s="18">
        <v>8</v>
      </c>
      <c r="AL6" s="18">
        <v>8</v>
      </c>
    </row>
    <row r="7" spans="1:39" s="17" customFormat="1" ht="16.5" customHeight="1">
      <c r="A7" s="2" t="s">
        <v>19</v>
      </c>
      <c r="B7" s="41"/>
      <c r="C7" s="41"/>
      <c r="D7" s="41"/>
      <c r="E7" s="41"/>
      <c r="F7" s="41"/>
      <c r="G7" s="67" t="s">
        <v>323</v>
      </c>
      <c r="H7" s="25"/>
      <c r="I7" s="41"/>
      <c r="J7" s="41"/>
      <c r="K7" s="41"/>
      <c r="L7" s="41"/>
      <c r="M7" s="41"/>
      <c r="N7" s="41"/>
      <c r="O7" s="25"/>
      <c r="P7" s="67" t="s">
        <v>317</v>
      </c>
      <c r="Q7" s="41"/>
      <c r="R7" s="41"/>
      <c r="S7" s="41"/>
      <c r="T7" s="41"/>
      <c r="U7" s="41"/>
      <c r="V7" s="25"/>
      <c r="W7" s="67" t="s">
        <v>98</v>
      </c>
      <c r="X7" s="67" t="s">
        <v>98</v>
      </c>
      <c r="Y7" s="67"/>
      <c r="Z7" s="67"/>
      <c r="AA7" s="67"/>
      <c r="AB7" s="67" t="s">
        <v>317</v>
      </c>
      <c r="AC7" s="25"/>
      <c r="AD7" s="67"/>
      <c r="AE7" s="41"/>
      <c r="AF7" s="41"/>
      <c r="AG7" s="41"/>
      <c r="AH7" s="41"/>
      <c r="AI7" s="41"/>
      <c r="AJ7" s="25"/>
      <c r="AK7" s="41"/>
      <c r="AL7" s="60"/>
    </row>
    <row r="8" spans="1:39" s="17" customFormat="1" ht="16.5" customHeight="1">
      <c r="A8" s="2" t="s">
        <v>20</v>
      </c>
      <c r="B8" s="20"/>
      <c r="C8" s="20"/>
      <c r="D8" s="20"/>
      <c r="E8" s="20"/>
      <c r="F8" s="20"/>
      <c r="G8" s="82">
        <v>0.7</v>
      </c>
      <c r="H8" s="25"/>
      <c r="I8" s="20">
        <v>0.85</v>
      </c>
      <c r="J8" s="20"/>
      <c r="K8" s="20"/>
      <c r="L8" s="20"/>
      <c r="M8" s="20"/>
      <c r="N8" s="20"/>
      <c r="O8" s="25"/>
      <c r="P8" s="20"/>
      <c r="Q8" s="20"/>
      <c r="R8" s="20"/>
      <c r="S8" s="20"/>
      <c r="T8" s="20"/>
      <c r="U8" s="20"/>
      <c r="V8" s="25"/>
      <c r="W8" s="20">
        <v>0.9</v>
      </c>
      <c r="X8" s="20">
        <v>0.9</v>
      </c>
      <c r="Y8" s="20"/>
      <c r="Z8" s="20"/>
      <c r="AA8" s="20"/>
      <c r="AB8" s="20">
        <v>0.7</v>
      </c>
      <c r="AC8" s="25"/>
      <c r="AD8" s="20">
        <v>0.85</v>
      </c>
      <c r="AE8" s="20"/>
      <c r="AF8" s="20"/>
      <c r="AG8" s="20"/>
      <c r="AH8" s="20"/>
      <c r="AI8" s="20"/>
      <c r="AJ8" s="25"/>
      <c r="AK8" s="20"/>
      <c r="AL8" s="60"/>
    </row>
    <row r="9" spans="1:39" s="11" customFormat="1" ht="15.75" customHeight="1">
      <c r="A9" s="229" t="s">
        <v>47</v>
      </c>
      <c r="B9" s="46"/>
      <c r="C9" s="49"/>
      <c r="D9" s="40"/>
      <c r="G9" s="50" t="s">
        <v>195</v>
      </c>
      <c r="H9" s="48"/>
      <c r="J9" s="47"/>
      <c r="K9" s="50"/>
      <c r="L9" s="40"/>
      <c r="M9" s="40"/>
      <c r="N9" s="47"/>
      <c r="O9" s="48"/>
      <c r="P9" s="40"/>
      <c r="Q9" s="40"/>
      <c r="R9" s="40"/>
      <c r="T9" s="40"/>
      <c r="U9" s="70" t="s">
        <v>178</v>
      </c>
      <c r="V9" s="48"/>
      <c r="Z9" s="40"/>
      <c r="AB9" s="49" t="s">
        <v>788</v>
      </c>
      <c r="AC9" s="48"/>
      <c r="AD9" s="40"/>
      <c r="AE9" s="40"/>
      <c r="AF9" s="40"/>
      <c r="AG9" s="42"/>
      <c r="AH9" s="49" t="s">
        <v>788</v>
      </c>
      <c r="AI9" s="40"/>
      <c r="AJ9" s="48"/>
      <c r="AK9" s="62"/>
      <c r="AL9" s="61"/>
    </row>
    <row r="10" spans="1:39" s="11" customFormat="1" ht="15.75" customHeight="1">
      <c r="A10" s="230"/>
      <c r="B10" s="22"/>
      <c r="C10" s="22"/>
      <c r="D10" s="40"/>
      <c r="E10" s="40"/>
      <c r="F10" s="40"/>
      <c r="G10" s="22" t="s">
        <v>219</v>
      </c>
      <c r="H10" s="48"/>
      <c r="I10" s="40"/>
      <c r="J10" s="21"/>
      <c r="K10" s="22"/>
      <c r="L10" s="40"/>
      <c r="M10" s="40"/>
      <c r="N10" s="21"/>
      <c r="O10" s="48"/>
      <c r="P10" s="40"/>
      <c r="Q10" s="40"/>
      <c r="R10" s="40"/>
      <c r="S10" s="40"/>
      <c r="T10" s="40"/>
      <c r="U10" s="22" t="s">
        <v>179</v>
      </c>
      <c r="V10" s="48"/>
      <c r="W10" s="40"/>
      <c r="X10" s="40"/>
      <c r="Y10" s="40"/>
      <c r="Z10" s="40"/>
      <c r="AA10" s="40"/>
      <c r="AB10" s="22" t="s">
        <v>907</v>
      </c>
      <c r="AC10" s="48"/>
      <c r="AD10" s="40"/>
      <c r="AE10" s="40"/>
      <c r="AF10" s="40"/>
      <c r="AG10" s="40"/>
      <c r="AH10" s="22" t="s">
        <v>906</v>
      </c>
      <c r="AI10" s="40"/>
      <c r="AJ10" s="48"/>
      <c r="AK10" s="58"/>
      <c r="AL10" s="61"/>
    </row>
    <row r="11" spans="1:39" s="11" customFormat="1" ht="15.75" customHeight="1">
      <c r="A11" s="230"/>
      <c r="B11" s="22"/>
      <c r="C11" s="22"/>
      <c r="D11" s="40"/>
      <c r="E11" s="40"/>
      <c r="F11" s="40"/>
      <c r="G11" s="74" t="s">
        <v>197</v>
      </c>
      <c r="H11" s="48"/>
      <c r="I11" s="40"/>
      <c r="J11" s="21"/>
      <c r="K11" s="22"/>
      <c r="L11" s="40"/>
      <c r="M11" s="40"/>
      <c r="N11" s="21"/>
      <c r="O11" s="48"/>
      <c r="P11" s="40"/>
      <c r="Q11" s="40"/>
      <c r="R11" s="40"/>
      <c r="S11" s="40"/>
      <c r="T11" s="40"/>
      <c r="U11" s="22" t="s">
        <v>180</v>
      </c>
      <c r="V11" s="48"/>
      <c r="W11" s="40"/>
      <c r="X11" s="40"/>
      <c r="Y11" s="40"/>
      <c r="Z11" s="40"/>
      <c r="AA11" s="40"/>
      <c r="AB11" s="22" t="s">
        <v>901</v>
      </c>
      <c r="AC11" s="48"/>
      <c r="AD11" s="40"/>
      <c r="AE11" s="40"/>
      <c r="AF11" s="40"/>
      <c r="AG11" s="40"/>
      <c r="AH11" s="22" t="s">
        <v>905</v>
      </c>
      <c r="AI11" s="40"/>
      <c r="AJ11" s="48"/>
      <c r="AK11" s="58"/>
      <c r="AL11" s="61"/>
    </row>
    <row r="12" spans="1:39" s="11" customFormat="1" ht="15.75" customHeight="1">
      <c r="A12" s="230"/>
      <c r="B12" s="22"/>
      <c r="C12" s="55"/>
      <c r="D12" s="40"/>
      <c r="E12" s="40"/>
      <c r="F12" s="40"/>
      <c r="G12" s="74" t="s">
        <v>196</v>
      </c>
      <c r="H12" s="48"/>
      <c r="I12" s="40"/>
      <c r="J12" s="21"/>
      <c r="K12" s="22"/>
      <c r="L12" s="40"/>
      <c r="M12" s="40"/>
      <c r="N12" s="21"/>
      <c r="O12" s="48"/>
      <c r="P12" s="40"/>
      <c r="Q12" s="40"/>
      <c r="R12" s="40"/>
      <c r="S12" s="40"/>
      <c r="T12" s="40"/>
      <c r="U12" s="49" t="s">
        <v>987</v>
      </c>
      <c r="V12" s="48"/>
      <c r="W12" s="40"/>
      <c r="X12" s="40"/>
      <c r="Y12" s="40"/>
      <c r="Z12" s="40"/>
      <c r="AA12" s="40"/>
      <c r="AB12" s="22" t="s">
        <v>900</v>
      </c>
      <c r="AC12" s="48"/>
      <c r="AD12" s="40"/>
      <c r="AE12" s="40"/>
      <c r="AF12" s="40"/>
      <c r="AG12" s="40"/>
      <c r="AH12" s="22" t="s">
        <v>902</v>
      </c>
      <c r="AI12" s="40"/>
      <c r="AJ12" s="48"/>
      <c r="AK12" s="58"/>
      <c r="AL12" s="61"/>
    </row>
    <row r="13" spans="1:39" s="11" customFormat="1" ht="15.75" customHeight="1">
      <c r="A13" s="230"/>
      <c r="B13" s="22"/>
      <c r="C13" s="22"/>
      <c r="D13" s="40"/>
      <c r="E13" s="40"/>
      <c r="F13" s="40"/>
      <c r="G13" s="176" t="s">
        <v>1318</v>
      </c>
      <c r="H13" s="48"/>
      <c r="I13" s="40"/>
      <c r="J13" s="21"/>
      <c r="K13" s="53"/>
      <c r="L13" s="40"/>
      <c r="M13" s="40"/>
      <c r="N13" s="21"/>
      <c r="O13" s="48"/>
      <c r="P13" s="40"/>
      <c r="Q13" s="40"/>
      <c r="R13" s="40"/>
      <c r="S13" s="40"/>
      <c r="T13" s="40"/>
      <c r="U13" s="22" t="s">
        <v>988</v>
      </c>
      <c r="V13" s="48"/>
      <c r="W13" s="40"/>
      <c r="X13" s="40"/>
      <c r="Y13" s="40"/>
      <c r="Z13" s="40"/>
      <c r="AA13" s="40"/>
      <c r="AB13" s="49" t="s">
        <v>1303</v>
      </c>
      <c r="AC13" s="48"/>
      <c r="AD13" s="40"/>
      <c r="AE13" s="40"/>
      <c r="AF13" s="40"/>
      <c r="AG13" s="40"/>
      <c r="AH13" s="22" t="s">
        <v>903</v>
      </c>
      <c r="AI13" s="40"/>
      <c r="AJ13" s="48"/>
      <c r="AK13" s="58"/>
      <c r="AL13" s="61"/>
    </row>
    <row r="14" spans="1:39" s="11" customFormat="1" ht="15.75" customHeight="1">
      <c r="A14" s="230"/>
      <c r="B14" s="22"/>
      <c r="C14" s="22"/>
      <c r="D14" s="40"/>
      <c r="E14" s="40"/>
      <c r="F14" s="40"/>
      <c r="G14" s="74" t="s">
        <v>198</v>
      </c>
      <c r="H14" s="48"/>
      <c r="I14" s="40"/>
      <c r="J14" s="21"/>
      <c r="K14" s="53"/>
      <c r="L14" s="40"/>
      <c r="M14" s="40"/>
      <c r="N14" s="21"/>
      <c r="O14" s="48"/>
      <c r="P14" s="40"/>
      <c r="Q14" s="40"/>
      <c r="R14" s="40"/>
      <c r="S14" s="40"/>
      <c r="T14" s="40"/>
      <c r="U14" s="22" t="s">
        <v>989</v>
      </c>
      <c r="V14" s="48"/>
      <c r="W14" s="40"/>
      <c r="X14" s="40"/>
      <c r="Y14" s="40"/>
      <c r="AA14" s="40"/>
      <c r="AB14" s="222" t="s">
        <v>1593</v>
      </c>
      <c r="AC14" s="48"/>
      <c r="AD14" s="40"/>
      <c r="AE14" s="40"/>
      <c r="AF14" s="40"/>
      <c r="AG14" s="40"/>
      <c r="AH14" s="22" t="s">
        <v>904</v>
      </c>
      <c r="AI14" s="40"/>
      <c r="AJ14" s="48"/>
      <c r="AK14" s="58"/>
      <c r="AL14" s="61"/>
    </row>
    <row r="15" spans="1:39" s="11" customFormat="1" ht="15.75" customHeight="1">
      <c r="A15" s="230"/>
      <c r="B15" s="22"/>
      <c r="C15" s="22"/>
      <c r="D15" s="40"/>
      <c r="E15" s="40"/>
      <c r="F15" s="40"/>
      <c r="G15" s="22" t="s">
        <v>977</v>
      </c>
      <c r="H15" s="48"/>
      <c r="I15" s="40"/>
      <c r="J15" s="50"/>
      <c r="K15" s="53"/>
      <c r="L15" s="40"/>
      <c r="M15" s="40"/>
      <c r="N15" s="40"/>
      <c r="O15" s="48"/>
      <c r="P15" s="40"/>
      <c r="Q15" s="40"/>
      <c r="R15" s="40"/>
      <c r="S15" s="40"/>
      <c r="T15" s="40"/>
      <c r="U15" s="22" t="s">
        <v>990</v>
      </c>
      <c r="V15" s="48"/>
      <c r="W15" s="40"/>
      <c r="X15" s="40"/>
      <c r="Y15" s="40"/>
      <c r="Z15" s="40"/>
      <c r="AA15" s="40"/>
      <c r="AB15" s="22" t="s">
        <v>848</v>
      </c>
      <c r="AC15" s="48"/>
      <c r="AD15" s="40"/>
      <c r="AE15" s="40"/>
      <c r="AF15" s="40"/>
      <c r="AG15" s="40"/>
      <c r="AH15" s="40"/>
      <c r="AI15" s="40"/>
      <c r="AJ15" s="231">
        <f>+SUM(B24:AL24)</f>
        <v>34408</v>
      </c>
      <c r="AK15" s="232"/>
      <c r="AL15" s="23" t="s">
        <v>1</v>
      </c>
    </row>
    <row r="16" spans="1:39" s="11" customFormat="1" ht="15.75" customHeight="1">
      <c r="A16" s="230"/>
      <c r="B16" s="22"/>
      <c r="C16" s="22"/>
      <c r="D16" s="40"/>
      <c r="E16" s="40"/>
      <c r="F16" s="40"/>
      <c r="G16" s="21"/>
      <c r="H16" s="48"/>
      <c r="I16" s="40"/>
      <c r="J16" s="40"/>
      <c r="K16" s="53"/>
      <c r="L16" s="40"/>
      <c r="M16" s="40"/>
      <c r="N16" s="21"/>
      <c r="O16" s="48"/>
      <c r="P16" s="40"/>
      <c r="Q16" s="40"/>
      <c r="R16" s="40"/>
      <c r="S16" s="40"/>
      <c r="T16" s="40"/>
      <c r="U16" s="22" t="s">
        <v>991</v>
      </c>
      <c r="V16" s="48"/>
      <c r="W16" s="40"/>
      <c r="X16" s="40"/>
      <c r="Y16" s="40"/>
      <c r="Z16" s="40"/>
      <c r="AA16" s="40"/>
      <c r="AB16" s="22" t="s">
        <v>846</v>
      </c>
      <c r="AC16" s="48"/>
      <c r="AD16" s="40"/>
      <c r="AE16" s="40"/>
      <c r="AF16" s="40"/>
      <c r="AG16" s="40"/>
      <c r="AH16" s="49" t="s">
        <v>1303</v>
      </c>
      <c r="AI16" s="40"/>
      <c r="AJ16" s="48"/>
      <c r="AK16" s="58"/>
      <c r="AL16" s="61"/>
    </row>
    <row r="17" spans="1:40" s="11" customFormat="1" ht="15.75" customHeight="1">
      <c r="A17" s="230"/>
      <c r="B17" s="91"/>
      <c r="C17" s="22"/>
      <c r="D17" s="40"/>
      <c r="E17" s="40"/>
      <c r="F17" s="40"/>
      <c r="G17" s="40"/>
      <c r="H17" s="48"/>
      <c r="I17" s="40"/>
      <c r="J17" s="40"/>
      <c r="L17" s="40"/>
      <c r="N17" s="21"/>
      <c r="O17" s="48"/>
      <c r="P17" s="40"/>
      <c r="Q17" s="40"/>
      <c r="R17" s="40"/>
      <c r="S17" s="40"/>
      <c r="T17" s="50"/>
      <c r="U17" s="22" t="s">
        <v>992</v>
      </c>
      <c r="V17" s="48"/>
      <c r="W17" s="40"/>
      <c r="X17" s="40"/>
      <c r="Y17" s="40"/>
      <c r="Z17" s="40"/>
      <c r="AA17" s="40"/>
      <c r="AB17" s="22" t="s">
        <v>847</v>
      </c>
      <c r="AC17" s="48"/>
      <c r="AD17" s="40"/>
      <c r="AE17" s="40"/>
      <c r="AF17" s="40"/>
      <c r="AG17" s="40"/>
      <c r="AH17" s="22" t="s">
        <v>839</v>
      </c>
      <c r="AI17" s="40"/>
      <c r="AJ17" s="48"/>
      <c r="AK17" s="156"/>
      <c r="AL17" s="61"/>
    </row>
    <row r="18" spans="1:40" s="11" customFormat="1" ht="15.75" customHeight="1">
      <c r="A18" s="230"/>
      <c r="B18" s="91"/>
      <c r="C18" s="22"/>
      <c r="D18" s="40"/>
      <c r="E18" s="40"/>
      <c r="F18" s="40"/>
      <c r="G18" s="40"/>
      <c r="H18" s="48"/>
      <c r="J18" s="21"/>
      <c r="L18" s="40"/>
      <c r="M18" s="40"/>
      <c r="N18" s="21"/>
      <c r="O18" s="48"/>
      <c r="P18" s="40"/>
      <c r="Q18" s="40"/>
      <c r="R18" s="40"/>
      <c r="S18" s="40"/>
      <c r="T18" s="40"/>
      <c r="U18" s="22" t="s">
        <v>993</v>
      </c>
      <c r="V18" s="48"/>
      <c r="W18" s="40"/>
      <c r="X18" s="40"/>
      <c r="Y18" s="40"/>
      <c r="Z18" s="40"/>
      <c r="AA18" s="40"/>
      <c r="AB18" s="49" t="s">
        <v>788</v>
      </c>
      <c r="AC18" s="48"/>
      <c r="AD18" s="40"/>
      <c r="AE18" s="40"/>
      <c r="AF18" s="40"/>
      <c r="AG18" s="40"/>
      <c r="AH18" s="22" t="s">
        <v>840</v>
      </c>
      <c r="AI18" s="40"/>
      <c r="AJ18" s="48"/>
      <c r="AK18" s="156"/>
      <c r="AL18" s="61"/>
    </row>
    <row r="19" spans="1:40" s="11" customFormat="1" ht="15.75" customHeight="1">
      <c r="A19" s="230"/>
      <c r="B19" s="91"/>
      <c r="C19" s="22"/>
      <c r="D19" s="40"/>
      <c r="E19" s="40"/>
      <c r="F19" s="21"/>
      <c r="G19" s="21"/>
      <c r="H19" s="48"/>
      <c r="I19" s="40"/>
      <c r="J19" s="21"/>
      <c r="M19" s="40"/>
      <c r="N19" s="21"/>
      <c r="O19" s="48"/>
      <c r="P19" s="40"/>
      <c r="Q19" s="40"/>
      <c r="R19" s="40"/>
      <c r="S19" s="40"/>
      <c r="T19" s="40"/>
      <c r="U19" s="22" t="s">
        <v>994</v>
      </c>
      <c r="V19" s="48"/>
      <c r="W19" s="40"/>
      <c r="X19" s="40"/>
      <c r="Y19" s="40"/>
      <c r="Z19" s="40"/>
      <c r="AA19" s="40"/>
      <c r="AB19" s="171" t="s">
        <v>1601</v>
      </c>
      <c r="AC19" s="48"/>
      <c r="AD19" s="40"/>
      <c r="AE19" s="40"/>
      <c r="AF19" s="40"/>
      <c r="AG19" s="40"/>
      <c r="AH19" s="105"/>
      <c r="AI19" s="40"/>
      <c r="AJ19" s="48"/>
      <c r="AK19" s="156"/>
      <c r="AL19" s="61"/>
    </row>
    <row r="20" spans="1:40" s="11" customFormat="1" ht="15.75" customHeight="1">
      <c r="A20" s="230"/>
      <c r="B20" s="91"/>
      <c r="C20" s="22"/>
      <c r="D20" s="40"/>
      <c r="E20" s="40"/>
      <c r="F20" s="21"/>
      <c r="G20" s="21"/>
      <c r="H20" s="48"/>
      <c r="I20" s="40"/>
      <c r="J20" s="21"/>
      <c r="L20" s="40"/>
      <c r="N20" s="21"/>
      <c r="O20" s="48"/>
      <c r="P20" s="40"/>
      <c r="Q20" s="40"/>
      <c r="R20" s="40"/>
      <c r="S20" s="40"/>
      <c r="T20" s="40"/>
      <c r="U20" s="22" t="s">
        <v>1241</v>
      </c>
      <c r="V20" s="48"/>
      <c r="W20" s="40"/>
      <c r="X20" s="40"/>
      <c r="Y20" s="40"/>
      <c r="Z20" s="40"/>
      <c r="AA20" s="40"/>
      <c r="AB20" s="171" t="s">
        <v>1580</v>
      </c>
      <c r="AC20" s="48"/>
      <c r="AD20" s="40"/>
      <c r="AE20" s="40"/>
      <c r="AF20" s="40"/>
      <c r="AG20" s="40"/>
      <c r="AI20" s="40"/>
      <c r="AJ20" s="48"/>
      <c r="AK20" s="156"/>
      <c r="AL20" s="61"/>
    </row>
    <row r="21" spans="1:40" s="11" customFormat="1" ht="15.75" customHeight="1">
      <c r="A21" s="230"/>
      <c r="B21" s="91"/>
      <c r="C21" s="22"/>
      <c r="D21" s="40"/>
      <c r="E21" s="40"/>
      <c r="F21" s="21"/>
      <c r="G21" s="21"/>
      <c r="H21" s="48"/>
      <c r="I21" s="40"/>
      <c r="J21" s="21"/>
      <c r="K21" s="22"/>
      <c r="L21" s="40"/>
      <c r="M21" s="40"/>
      <c r="N21" s="21"/>
      <c r="O21" s="48"/>
      <c r="P21" s="40"/>
      <c r="Q21" s="40"/>
      <c r="R21" s="40"/>
      <c r="S21" s="40"/>
      <c r="T21" s="40"/>
      <c r="U21" s="22" t="s">
        <v>1242</v>
      </c>
      <c r="V21" s="48"/>
      <c r="W21" s="40"/>
      <c r="X21" s="40"/>
      <c r="Y21" s="40"/>
      <c r="Z21" s="40"/>
      <c r="AA21" s="40"/>
      <c r="AB21" s="40"/>
      <c r="AC21" s="48"/>
      <c r="AD21" s="40"/>
      <c r="AE21" s="40"/>
      <c r="AF21" s="40"/>
      <c r="AH21" s="153"/>
      <c r="AI21" s="40"/>
      <c r="AJ21" s="48"/>
      <c r="AK21" s="156"/>
      <c r="AL21" s="61"/>
    </row>
    <row r="22" spans="1:40" s="11" customFormat="1" ht="15.75" customHeight="1">
      <c r="A22" s="230"/>
      <c r="B22" s="91"/>
      <c r="C22" s="22"/>
      <c r="D22" s="40"/>
      <c r="E22" s="40"/>
      <c r="F22" s="21"/>
      <c r="G22" s="21"/>
      <c r="H22" s="48"/>
      <c r="I22" s="40"/>
      <c r="J22" s="21"/>
      <c r="K22" s="22"/>
      <c r="L22" s="40"/>
      <c r="M22" s="40"/>
      <c r="N22" s="21"/>
      <c r="O22" s="48"/>
      <c r="P22" s="40"/>
      <c r="Q22" s="40"/>
      <c r="R22" s="40"/>
      <c r="S22" s="40"/>
      <c r="T22" s="40"/>
      <c r="U22" s="69" t="s">
        <v>99</v>
      </c>
      <c r="V22" s="48"/>
      <c r="W22" s="40"/>
      <c r="X22" s="40"/>
      <c r="Y22" s="40"/>
      <c r="Z22" s="40"/>
      <c r="AA22" s="40"/>
      <c r="AB22" s="40"/>
      <c r="AC22" s="48"/>
      <c r="AD22" s="40"/>
      <c r="AE22" s="40"/>
      <c r="AF22" s="40"/>
      <c r="AG22" s="40"/>
      <c r="AH22" s="40"/>
      <c r="AI22" s="40"/>
      <c r="AJ22" s="48"/>
      <c r="AK22" s="156"/>
      <c r="AL22" s="61"/>
    </row>
    <row r="23" spans="1:40" s="11" customFormat="1" ht="15.75" customHeight="1">
      <c r="A23" s="230"/>
      <c r="B23" s="91"/>
      <c r="C23" s="22"/>
      <c r="D23" s="40"/>
      <c r="E23" s="40"/>
      <c r="F23" s="21"/>
      <c r="G23" s="21"/>
      <c r="H23" s="48"/>
      <c r="I23" s="40"/>
      <c r="J23" s="21"/>
      <c r="K23" s="22"/>
      <c r="L23" s="40"/>
      <c r="M23" s="40"/>
      <c r="N23" s="21"/>
      <c r="O23" s="48"/>
      <c r="P23" s="40"/>
      <c r="Q23" s="40"/>
      <c r="R23" s="40"/>
      <c r="S23" s="40"/>
      <c r="T23" s="40"/>
      <c r="U23" s="22" t="s">
        <v>100</v>
      </c>
      <c r="V23" s="48"/>
      <c r="W23" s="40"/>
      <c r="X23" s="40"/>
      <c r="Y23" s="40"/>
      <c r="Z23" s="40"/>
      <c r="AA23" s="40"/>
      <c r="AB23" s="40"/>
      <c r="AC23" s="48"/>
      <c r="AD23" s="40"/>
      <c r="AE23" s="40"/>
      <c r="AF23" s="40"/>
      <c r="AG23" s="40"/>
      <c r="AH23" s="40"/>
      <c r="AI23" s="97" t="s">
        <v>1301</v>
      </c>
      <c r="AJ23" s="48"/>
      <c r="AK23" s="156"/>
      <c r="AL23" s="61"/>
    </row>
    <row r="24" spans="1:40" s="11" customFormat="1" ht="15.75" customHeight="1">
      <c r="A24" s="230"/>
      <c r="B24" s="24"/>
      <c r="C24" s="56"/>
      <c r="D24" s="24"/>
      <c r="E24" s="56"/>
      <c r="F24" s="242">
        <f>10638+694+3000+309+2015</f>
        <v>16656</v>
      </c>
      <c r="G24" s="243"/>
      <c r="H24" s="25"/>
      <c r="I24" s="24"/>
      <c r="J24" s="24"/>
      <c r="K24" s="24"/>
      <c r="L24" s="24"/>
      <c r="M24" s="24"/>
      <c r="N24" s="24"/>
      <c r="O24" s="25"/>
      <c r="P24" s="24"/>
      <c r="Q24" s="24"/>
      <c r="R24" s="56"/>
      <c r="S24" s="24"/>
      <c r="T24" s="56"/>
      <c r="U24" s="24"/>
      <c r="V24" s="56"/>
      <c r="W24" s="233">
        <f>100+480+300+100+200+500+500+200+500+1464+1200+300</f>
        <v>5844</v>
      </c>
      <c r="X24" s="234"/>
      <c r="Y24" s="56"/>
      <c r="Z24" s="56"/>
      <c r="AA24" s="242">
        <f>2+1252+336+780+600+462+600+1780+1016</f>
        <v>6828</v>
      </c>
      <c r="AB24" s="243"/>
      <c r="AC24" s="56"/>
      <c r="AD24" s="56"/>
      <c r="AE24" s="56"/>
      <c r="AF24" s="56"/>
      <c r="AG24" s="56"/>
      <c r="AH24" s="233">
        <f>425+1026+660+489+380+1092+1008</f>
        <v>5080</v>
      </c>
      <c r="AI24" s="234"/>
      <c r="AJ24" s="56"/>
      <c r="AK24" s="233"/>
      <c r="AL24" s="234"/>
    </row>
    <row r="25" spans="1:40" s="11" customFormat="1" ht="2.25" customHeight="1">
      <c r="A25" s="26"/>
      <c r="B25" s="27"/>
      <c r="C25" s="27"/>
      <c r="D25" s="27"/>
      <c r="E25" s="28"/>
      <c r="F25" s="27"/>
      <c r="G25" s="44"/>
      <c r="H25" s="27"/>
      <c r="I25" s="29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30"/>
    </row>
    <row r="26" spans="1:40" s="11" customFormat="1" ht="19.5" customHeight="1">
      <c r="A26" s="12" t="s">
        <v>0</v>
      </c>
      <c r="B26" s="16"/>
      <c r="C26" s="16"/>
      <c r="D26" s="16"/>
      <c r="E26" s="16"/>
      <c r="F26" s="16"/>
      <c r="G26" s="16">
        <v>640</v>
      </c>
      <c r="H26" s="25"/>
      <c r="I26" s="16">
        <v>600</v>
      </c>
      <c r="J26" s="16">
        <v>830</v>
      </c>
      <c r="K26" s="16">
        <v>830</v>
      </c>
      <c r="L26" s="16">
        <v>830</v>
      </c>
      <c r="M26" s="16">
        <v>830</v>
      </c>
      <c r="N26" s="16">
        <v>600</v>
      </c>
      <c r="O26" s="25"/>
      <c r="P26" s="16">
        <v>600</v>
      </c>
      <c r="Q26" s="16">
        <v>710</v>
      </c>
      <c r="R26" s="16">
        <v>830</v>
      </c>
      <c r="S26" s="16">
        <v>710</v>
      </c>
      <c r="T26" s="51">
        <v>830</v>
      </c>
      <c r="U26" s="16">
        <v>710</v>
      </c>
      <c r="V26" s="25"/>
      <c r="W26" s="16">
        <v>710</v>
      </c>
      <c r="X26" s="16">
        <v>710</v>
      </c>
      <c r="Y26" s="16">
        <v>710</v>
      </c>
      <c r="Z26" s="16">
        <v>710</v>
      </c>
      <c r="AA26" s="16">
        <v>710</v>
      </c>
      <c r="AB26" s="16">
        <v>710</v>
      </c>
      <c r="AC26" s="25"/>
      <c r="AD26" s="16">
        <v>710</v>
      </c>
      <c r="AE26" s="16">
        <v>710</v>
      </c>
      <c r="AF26" s="16">
        <v>710</v>
      </c>
      <c r="AG26" s="16">
        <v>710</v>
      </c>
      <c r="AH26" s="51">
        <v>710</v>
      </c>
      <c r="AI26" s="16">
        <v>600</v>
      </c>
      <c r="AJ26" s="25"/>
      <c r="AK26" s="16">
        <v>600</v>
      </c>
      <c r="AL26" s="16">
        <v>600</v>
      </c>
      <c r="AM26" s="17">
        <f>+SUM(B26:AL26)</f>
        <v>19160</v>
      </c>
    </row>
    <row r="27" spans="1:40" s="17" customFormat="1" ht="19.5" customHeight="1">
      <c r="A27" s="12" t="s">
        <v>18</v>
      </c>
      <c r="B27" s="122">
        <v>11</v>
      </c>
      <c r="C27" s="122">
        <v>11</v>
      </c>
      <c r="D27" s="122">
        <v>11</v>
      </c>
      <c r="E27" s="122">
        <v>11</v>
      </c>
      <c r="F27" s="122">
        <v>8</v>
      </c>
      <c r="G27" s="122">
        <v>8</v>
      </c>
      <c r="H27" s="25"/>
      <c r="I27" s="18">
        <v>11</v>
      </c>
      <c r="J27" s="18">
        <v>11</v>
      </c>
      <c r="K27" s="18">
        <v>11</v>
      </c>
      <c r="L27" s="18">
        <v>11</v>
      </c>
      <c r="M27" s="18">
        <v>8</v>
      </c>
      <c r="N27" s="18">
        <v>8</v>
      </c>
      <c r="O27" s="25"/>
      <c r="P27" s="18">
        <v>9.5</v>
      </c>
      <c r="Q27" s="18">
        <v>11</v>
      </c>
      <c r="R27" s="18">
        <v>9.5</v>
      </c>
      <c r="S27" s="18">
        <v>11</v>
      </c>
      <c r="T27" s="18">
        <v>9.5</v>
      </c>
      <c r="U27" s="18">
        <v>9.5</v>
      </c>
      <c r="V27" s="25"/>
      <c r="W27" s="192">
        <v>9.5</v>
      </c>
      <c r="X27" s="192">
        <v>9.5</v>
      </c>
      <c r="Y27" s="192">
        <v>9.5</v>
      </c>
      <c r="Z27" s="192">
        <v>9.5</v>
      </c>
      <c r="AA27" s="192">
        <v>9.5</v>
      </c>
      <c r="AB27" s="192">
        <v>9.5</v>
      </c>
      <c r="AC27" s="193"/>
      <c r="AD27" s="192">
        <v>9.5</v>
      </c>
      <c r="AE27" s="192">
        <v>9.5</v>
      </c>
      <c r="AF27" s="192">
        <v>9.5</v>
      </c>
      <c r="AG27" s="192">
        <v>9.5</v>
      </c>
      <c r="AH27" s="18">
        <v>8</v>
      </c>
      <c r="AI27" s="18">
        <v>8</v>
      </c>
      <c r="AJ27" s="25"/>
      <c r="AK27" s="18">
        <v>8</v>
      </c>
      <c r="AL27" s="18">
        <v>8</v>
      </c>
    </row>
    <row r="28" spans="1:40" s="17" customFormat="1" ht="17.25" customHeight="1">
      <c r="A28" s="2" t="s">
        <v>19</v>
      </c>
      <c r="B28" s="41"/>
      <c r="C28" s="41"/>
      <c r="D28" s="41"/>
      <c r="E28" s="41"/>
      <c r="F28" s="41"/>
      <c r="G28" s="67" t="s">
        <v>70</v>
      </c>
      <c r="H28" s="25"/>
      <c r="I28" s="67" t="s">
        <v>294</v>
      </c>
      <c r="J28" s="41"/>
      <c r="K28" s="41"/>
      <c r="L28" s="41"/>
      <c r="M28" s="41"/>
      <c r="N28" s="67"/>
      <c r="O28" s="25"/>
      <c r="P28" s="41"/>
      <c r="Q28" s="41"/>
      <c r="R28" s="41"/>
      <c r="S28" s="41"/>
      <c r="T28" s="41"/>
      <c r="U28" s="41"/>
      <c r="V28" s="25"/>
      <c r="W28" s="41"/>
      <c r="X28" s="41"/>
      <c r="Y28" s="41"/>
      <c r="Z28" s="41"/>
      <c r="AA28" s="41"/>
      <c r="AB28" s="41"/>
      <c r="AC28" s="25"/>
      <c r="AD28" s="41"/>
      <c r="AE28" s="41"/>
      <c r="AF28" s="41"/>
      <c r="AG28" s="41"/>
      <c r="AH28" s="41"/>
      <c r="AI28" s="41"/>
      <c r="AJ28" s="25"/>
      <c r="AK28" s="41"/>
      <c r="AL28" s="60"/>
    </row>
    <row r="29" spans="1:40" s="17" customFormat="1" ht="17.25" customHeight="1">
      <c r="A29" s="2" t="s">
        <v>20</v>
      </c>
      <c r="B29" s="20"/>
      <c r="C29" s="20"/>
      <c r="D29" s="20"/>
      <c r="E29" s="20"/>
      <c r="F29" s="20"/>
      <c r="G29" s="20"/>
      <c r="H29" s="25"/>
      <c r="I29" s="20"/>
      <c r="J29" s="20"/>
      <c r="K29" s="20"/>
      <c r="L29" s="20"/>
      <c r="M29" s="20"/>
      <c r="N29" s="20"/>
      <c r="O29" s="25"/>
      <c r="P29" s="20"/>
      <c r="Q29" s="20"/>
      <c r="R29" s="20"/>
      <c r="S29" s="20"/>
      <c r="T29" s="20"/>
      <c r="U29" s="20"/>
      <c r="V29" s="25"/>
      <c r="W29" s="20"/>
      <c r="X29" s="20"/>
      <c r="Y29" s="20"/>
      <c r="Z29" s="20"/>
      <c r="AA29" s="20"/>
      <c r="AB29" s="20"/>
      <c r="AC29" s="25"/>
      <c r="AD29" s="20"/>
      <c r="AE29" s="20"/>
      <c r="AF29" s="20"/>
      <c r="AG29" s="20"/>
      <c r="AH29" s="20"/>
      <c r="AI29" s="20"/>
      <c r="AJ29" s="25"/>
      <c r="AK29" s="20"/>
      <c r="AL29" s="60"/>
      <c r="AN29" s="179"/>
    </row>
    <row r="30" spans="1:40" s="11" customFormat="1" ht="15.75" customHeight="1">
      <c r="A30" s="229" t="s">
        <v>48</v>
      </c>
      <c r="B30" s="46"/>
      <c r="C30" s="49"/>
      <c r="D30" s="40"/>
      <c r="E30" s="47"/>
      <c r="F30" s="47"/>
      <c r="G30" s="42" t="s">
        <v>833</v>
      </c>
      <c r="H30" s="48"/>
      <c r="J30" s="47"/>
      <c r="K30" s="50"/>
      <c r="L30" s="40"/>
      <c r="M30" s="42" t="s">
        <v>788</v>
      </c>
      <c r="N30" s="40"/>
      <c r="O30" s="48"/>
      <c r="P30" s="40"/>
      <c r="Q30" s="50"/>
      <c r="R30" s="40"/>
      <c r="S30" s="40"/>
      <c r="T30" s="50"/>
      <c r="U30" s="42" t="s">
        <v>1303</v>
      </c>
      <c r="V30" s="48"/>
      <c r="W30" s="40"/>
      <c r="Y30" s="47"/>
      <c r="Z30" s="40"/>
      <c r="AA30" s="40"/>
      <c r="AC30" s="48"/>
      <c r="AD30" s="42"/>
      <c r="AE30" s="55"/>
      <c r="AF30" s="40"/>
      <c r="AG30" s="40"/>
      <c r="AH30" s="42" t="s">
        <v>1303</v>
      </c>
      <c r="AJ30" s="48"/>
      <c r="AK30" s="62"/>
      <c r="AL30" s="61"/>
      <c r="AN30" s="180"/>
    </row>
    <row r="31" spans="1:40" s="11" customFormat="1" ht="15.75" customHeight="1">
      <c r="A31" s="230"/>
      <c r="B31" s="22"/>
      <c r="C31" s="22"/>
      <c r="D31" s="40"/>
      <c r="E31" s="21"/>
      <c r="F31" s="47"/>
      <c r="G31" s="215" t="s">
        <v>1510</v>
      </c>
      <c r="H31" s="48"/>
      <c r="I31" s="40"/>
      <c r="J31" s="21"/>
      <c r="K31" s="22"/>
      <c r="L31" s="40"/>
      <c r="M31" s="22" t="s">
        <v>891</v>
      </c>
      <c r="N31" s="40"/>
      <c r="O31" s="48"/>
      <c r="P31" s="40"/>
      <c r="Q31" s="22"/>
      <c r="R31" s="40"/>
      <c r="S31" s="40"/>
      <c r="T31" s="40"/>
      <c r="U31" s="22" t="s">
        <v>887</v>
      </c>
      <c r="V31" s="48"/>
      <c r="W31" s="40"/>
      <c r="X31" s="40"/>
      <c r="Y31" s="40"/>
      <c r="Z31" s="40"/>
      <c r="AA31" s="40"/>
      <c r="AB31" s="40"/>
      <c r="AC31" s="48"/>
      <c r="AD31" s="40"/>
      <c r="AE31" s="22"/>
      <c r="AF31" s="40"/>
      <c r="AG31" s="40"/>
      <c r="AH31" s="22" t="s">
        <v>850</v>
      </c>
      <c r="AI31" s="40"/>
      <c r="AJ31" s="48"/>
      <c r="AK31" s="58"/>
      <c r="AL31" s="61"/>
      <c r="AN31" s="181"/>
    </row>
    <row r="32" spans="1:40" s="11" customFormat="1" ht="15.75" customHeight="1">
      <c r="A32" s="230"/>
      <c r="B32" s="22"/>
      <c r="C32" s="22"/>
      <c r="D32" s="40"/>
      <c r="E32" s="40"/>
      <c r="F32" s="40"/>
      <c r="G32" s="213" t="s">
        <v>1384</v>
      </c>
      <c r="H32" s="48"/>
      <c r="I32" s="40"/>
      <c r="J32" s="21"/>
      <c r="K32" s="22"/>
      <c r="L32" s="40"/>
      <c r="M32" s="22" t="s">
        <v>892</v>
      </c>
      <c r="N32" s="40"/>
      <c r="O32" s="48"/>
      <c r="P32" s="40"/>
      <c r="Q32" s="22"/>
      <c r="R32" s="40"/>
      <c r="S32" s="40"/>
      <c r="T32" s="40"/>
      <c r="U32" s="205" t="s">
        <v>1275</v>
      </c>
      <c r="V32" s="48"/>
      <c r="W32" s="40"/>
      <c r="X32" s="40"/>
      <c r="Y32" s="40"/>
      <c r="Z32" s="40"/>
      <c r="AA32" s="40"/>
      <c r="AB32" s="40"/>
      <c r="AC32" s="48"/>
      <c r="AD32" s="40"/>
      <c r="AE32" s="22"/>
      <c r="AF32" s="40"/>
      <c r="AG32" s="40"/>
      <c r="AH32" s="22" t="s">
        <v>849</v>
      </c>
      <c r="AI32" s="40"/>
      <c r="AJ32" s="48"/>
      <c r="AK32" s="58"/>
      <c r="AL32" s="61"/>
      <c r="AN32" s="180"/>
    </row>
    <row r="33" spans="1:41" s="11" customFormat="1" ht="15.75" customHeight="1">
      <c r="A33" s="230"/>
      <c r="B33" s="22"/>
      <c r="C33" s="55"/>
      <c r="D33" s="40"/>
      <c r="E33" s="40"/>
      <c r="F33" s="40"/>
      <c r="G33" s="50" t="s">
        <v>815</v>
      </c>
      <c r="H33" s="48"/>
      <c r="I33" s="40"/>
      <c r="J33" s="21"/>
      <c r="K33" s="22"/>
      <c r="L33" s="40"/>
      <c r="M33" s="22" t="s">
        <v>893</v>
      </c>
      <c r="N33" s="40"/>
      <c r="O33" s="48"/>
      <c r="P33" s="40"/>
      <c r="Q33" s="40"/>
      <c r="R33" s="40"/>
      <c r="S33" s="40"/>
      <c r="T33" s="40"/>
      <c r="U33" s="205" t="s">
        <v>1319</v>
      </c>
      <c r="V33" s="48"/>
      <c r="W33" s="40"/>
      <c r="X33" s="40"/>
      <c r="Y33" s="40"/>
      <c r="Z33" s="40"/>
      <c r="AA33" s="40"/>
      <c r="AB33" s="40"/>
      <c r="AC33" s="48"/>
      <c r="AD33" s="40"/>
      <c r="AE33" s="22"/>
      <c r="AF33" s="40"/>
      <c r="AG33" s="40"/>
      <c r="AH33" s="105"/>
      <c r="AI33" s="40"/>
      <c r="AJ33" s="48"/>
      <c r="AK33" s="58"/>
      <c r="AL33" s="61"/>
      <c r="AN33" s="180"/>
    </row>
    <row r="34" spans="1:41" s="11" customFormat="1" ht="15.75" customHeight="1">
      <c r="A34" s="230"/>
      <c r="B34" s="22"/>
      <c r="C34" s="22"/>
      <c r="E34" s="40"/>
      <c r="F34" s="40"/>
      <c r="G34" s="171" t="s">
        <v>1509</v>
      </c>
      <c r="H34" s="48"/>
      <c r="I34" s="21"/>
      <c r="J34" s="21"/>
      <c r="K34" s="53"/>
      <c r="L34" s="40"/>
      <c r="M34" s="22" t="s">
        <v>894</v>
      </c>
      <c r="N34" s="40"/>
      <c r="O34" s="48"/>
      <c r="P34" s="40"/>
      <c r="Q34" s="40"/>
      <c r="R34" s="40"/>
      <c r="S34" s="40"/>
      <c r="T34" s="40"/>
      <c r="U34" s="153" t="s">
        <v>1348</v>
      </c>
      <c r="V34" s="48"/>
      <c r="W34" s="40"/>
      <c r="X34" s="40"/>
      <c r="Y34" s="40"/>
      <c r="Z34" s="40"/>
      <c r="AA34" s="40"/>
      <c r="AB34" s="40"/>
      <c r="AC34" s="48"/>
      <c r="AD34" s="40"/>
      <c r="AE34" s="22"/>
      <c r="AF34" s="40"/>
      <c r="AG34" s="40"/>
      <c r="AH34" s="40"/>
      <c r="AI34" s="40"/>
      <c r="AJ34" s="48"/>
      <c r="AK34" s="58"/>
      <c r="AL34" s="61"/>
      <c r="AN34" s="180"/>
    </row>
    <row r="35" spans="1:41" s="11" customFormat="1" ht="15.75" customHeight="1">
      <c r="A35" s="230"/>
      <c r="B35" s="22"/>
      <c r="C35" s="22"/>
      <c r="E35" s="40"/>
      <c r="F35" s="40"/>
      <c r="G35" s="42" t="s">
        <v>833</v>
      </c>
      <c r="H35" s="48"/>
      <c r="I35" s="21"/>
      <c r="J35" s="21"/>
      <c r="K35" s="53"/>
      <c r="L35" s="40"/>
      <c r="M35" s="22" t="s">
        <v>895</v>
      </c>
      <c r="N35" s="40"/>
      <c r="O35" s="48"/>
      <c r="P35" s="40"/>
      <c r="Q35" s="40"/>
      <c r="R35" s="40"/>
      <c r="S35" s="40"/>
      <c r="T35" s="40"/>
      <c r="U35" s="42" t="s">
        <v>788</v>
      </c>
      <c r="V35" s="48"/>
      <c r="W35" s="40"/>
      <c r="X35" s="40"/>
      <c r="Y35" s="40"/>
      <c r="Z35" s="40"/>
      <c r="AA35" s="40"/>
      <c r="AB35" s="40"/>
      <c r="AC35" s="48"/>
      <c r="AD35" s="40"/>
      <c r="AE35" s="22"/>
      <c r="AF35" s="40"/>
      <c r="AG35" s="40"/>
      <c r="AH35" s="40"/>
      <c r="AI35" s="40"/>
      <c r="AJ35" s="48"/>
      <c r="AK35" s="58"/>
      <c r="AL35" s="61"/>
      <c r="AN35" s="180"/>
    </row>
    <row r="36" spans="1:41" s="11" customFormat="1" ht="15.75" customHeight="1">
      <c r="A36" s="230"/>
      <c r="B36" s="22"/>
      <c r="C36" s="22"/>
      <c r="D36" s="40"/>
      <c r="E36" s="40"/>
      <c r="F36" s="40"/>
      <c r="G36" s="171" t="s">
        <v>1511</v>
      </c>
      <c r="H36" s="48"/>
      <c r="I36" s="21"/>
      <c r="J36" s="21"/>
      <c r="K36" s="53"/>
      <c r="L36" s="40"/>
      <c r="M36" s="22" t="s">
        <v>896</v>
      </c>
      <c r="N36" s="40"/>
      <c r="O36" s="48"/>
      <c r="P36" s="40"/>
      <c r="Q36" s="40"/>
      <c r="R36" s="40"/>
      <c r="S36" s="40"/>
      <c r="T36" s="40"/>
      <c r="U36" s="22" t="s">
        <v>871</v>
      </c>
      <c r="V36" s="48"/>
      <c r="W36" s="40"/>
      <c r="X36" s="40"/>
      <c r="Y36" s="40"/>
      <c r="Z36" s="40"/>
      <c r="AA36" s="42"/>
      <c r="AB36" s="40"/>
      <c r="AC36" s="48"/>
      <c r="AD36" s="40"/>
      <c r="AE36" s="40"/>
      <c r="AF36" s="40"/>
      <c r="AG36" s="40"/>
      <c r="AH36" s="40"/>
      <c r="AI36" s="40"/>
      <c r="AJ36" s="48"/>
      <c r="AK36" s="58"/>
      <c r="AL36" s="61"/>
      <c r="AN36" s="180"/>
    </row>
    <row r="37" spans="1:41" s="11" customFormat="1" ht="15.75" customHeight="1">
      <c r="A37" s="230"/>
      <c r="B37" s="22"/>
      <c r="C37" s="22"/>
      <c r="D37" s="40"/>
      <c r="E37" s="203"/>
      <c r="F37" s="40"/>
      <c r="G37" s="171" t="s">
        <v>1512</v>
      </c>
      <c r="H37" s="48"/>
      <c r="I37" s="21"/>
      <c r="J37" s="21"/>
      <c r="K37" s="22"/>
      <c r="L37" s="40"/>
      <c r="M37" s="22" t="s">
        <v>897</v>
      </c>
      <c r="N37" s="40"/>
      <c r="O37" s="48"/>
      <c r="P37" s="40"/>
      <c r="Q37" s="40"/>
      <c r="R37" s="40"/>
      <c r="S37" s="40"/>
      <c r="T37" s="40"/>
      <c r="U37" s="22" t="s">
        <v>872</v>
      </c>
      <c r="V37" s="48"/>
      <c r="W37" s="40"/>
      <c r="X37" s="40"/>
      <c r="Y37" s="40"/>
      <c r="Z37" s="42"/>
      <c r="AA37" s="40"/>
      <c r="AB37" s="40"/>
      <c r="AC37" s="48"/>
      <c r="AD37" s="40"/>
      <c r="AE37" s="40"/>
      <c r="AF37" s="40"/>
      <c r="AG37" s="22"/>
      <c r="AH37" s="40"/>
      <c r="AI37" s="40"/>
      <c r="AJ37" s="48"/>
      <c r="AK37" s="58"/>
      <c r="AL37" s="61"/>
      <c r="AN37" s="180"/>
    </row>
    <row r="38" spans="1:41" s="11" customFormat="1" ht="15.75" customHeight="1">
      <c r="A38" s="230"/>
      <c r="B38" s="22"/>
      <c r="C38" s="22"/>
      <c r="D38" s="40"/>
      <c r="E38" s="40"/>
      <c r="F38" s="21"/>
      <c r="G38" s="171" t="s">
        <v>1513</v>
      </c>
      <c r="H38" s="48"/>
      <c r="I38" s="21"/>
      <c r="J38" s="21"/>
      <c r="K38" s="53"/>
      <c r="L38" s="40"/>
      <c r="M38" s="22" t="s">
        <v>898</v>
      </c>
      <c r="N38" s="40"/>
      <c r="O38" s="48"/>
      <c r="P38" s="40"/>
      <c r="Q38" s="40"/>
      <c r="R38" s="42"/>
      <c r="S38" s="40"/>
      <c r="T38" s="40"/>
      <c r="U38" s="22" t="s">
        <v>873</v>
      </c>
      <c r="V38" s="48"/>
      <c r="W38" s="40"/>
      <c r="X38" s="40"/>
      <c r="Y38" s="40"/>
      <c r="Z38" s="40"/>
      <c r="AA38" s="40"/>
      <c r="AB38" s="40"/>
      <c r="AC38" s="48"/>
      <c r="AD38" s="40"/>
      <c r="AE38" s="40"/>
      <c r="AF38" s="40"/>
      <c r="AG38" s="21"/>
      <c r="AH38" s="40"/>
      <c r="AI38" s="40"/>
      <c r="AJ38" s="231">
        <f>+SUM(B45:AL45)</f>
        <v>19373</v>
      </c>
      <c r="AK38" s="232"/>
      <c r="AL38" s="23" t="s">
        <v>1</v>
      </c>
      <c r="AN38" s="180"/>
    </row>
    <row r="39" spans="1:41" s="11" customFormat="1" ht="15.75" customHeight="1">
      <c r="A39" s="230"/>
      <c r="B39" s="22"/>
      <c r="C39" s="22"/>
      <c r="D39" s="40"/>
      <c r="E39" s="40"/>
      <c r="F39" s="21"/>
      <c r="G39" s="171" t="s">
        <v>1514</v>
      </c>
      <c r="H39" s="48"/>
      <c r="I39" s="40"/>
      <c r="J39" s="21"/>
      <c r="K39" s="53"/>
      <c r="L39" s="40"/>
      <c r="M39" s="22" t="s">
        <v>868</v>
      </c>
      <c r="N39" s="40"/>
      <c r="O39" s="48"/>
      <c r="P39" s="40"/>
      <c r="Q39" s="40"/>
      <c r="R39" s="40"/>
      <c r="S39" s="40"/>
      <c r="T39" s="40"/>
      <c r="U39" s="22" t="s">
        <v>874</v>
      </c>
      <c r="V39" s="48"/>
      <c r="W39" s="40"/>
      <c r="X39" s="40"/>
      <c r="Y39" s="40"/>
      <c r="Z39" s="40"/>
      <c r="AA39" s="40"/>
      <c r="AB39" s="40"/>
      <c r="AC39" s="48"/>
      <c r="AD39" s="40"/>
      <c r="AE39" s="40"/>
      <c r="AF39" s="40"/>
      <c r="AG39" s="21"/>
      <c r="AH39" s="22"/>
      <c r="AI39" s="21"/>
      <c r="AJ39" s="48"/>
      <c r="AK39" s="58"/>
      <c r="AL39" s="61"/>
      <c r="AN39" s="180"/>
    </row>
    <row r="40" spans="1:41" s="11" customFormat="1" ht="15.75" customHeight="1">
      <c r="A40" s="230"/>
      <c r="B40" s="91"/>
      <c r="C40" s="22"/>
      <c r="D40" s="40"/>
      <c r="E40" s="40"/>
      <c r="F40" s="40"/>
      <c r="G40" s="195" t="s">
        <v>1365</v>
      </c>
      <c r="H40" s="48"/>
      <c r="I40" s="40"/>
      <c r="J40" s="21"/>
      <c r="K40" s="53"/>
      <c r="L40" s="40"/>
      <c r="M40" s="22" t="s">
        <v>869</v>
      </c>
      <c r="N40" s="40"/>
      <c r="O40" s="48"/>
      <c r="P40" s="40"/>
      <c r="Q40" s="40"/>
      <c r="R40" s="40"/>
      <c r="S40" s="40"/>
      <c r="T40" s="40"/>
      <c r="U40" s="22" t="s">
        <v>875</v>
      </c>
      <c r="V40" s="48"/>
      <c r="W40" s="40"/>
      <c r="X40" s="40"/>
      <c r="Y40" s="40"/>
      <c r="Z40" s="40"/>
      <c r="AA40" s="40"/>
      <c r="AB40" s="40"/>
      <c r="AC40" s="48"/>
      <c r="AD40" s="40"/>
      <c r="AE40" s="40"/>
      <c r="AF40" s="40"/>
      <c r="AG40" s="21"/>
      <c r="AH40" s="91"/>
      <c r="AI40" s="21"/>
      <c r="AJ40" s="48"/>
      <c r="AK40" s="156"/>
      <c r="AL40" s="61"/>
      <c r="AN40" s="179"/>
      <c r="AO40" s="17"/>
    </row>
    <row r="41" spans="1:41" s="11" customFormat="1" ht="15.75" customHeight="1">
      <c r="A41" s="230"/>
      <c r="B41" s="91"/>
      <c r="C41" s="22"/>
      <c r="D41" s="40"/>
      <c r="E41" s="21"/>
      <c r="F41" s="40"/>
      <c r="G41" s="21"/>
      <c r="H41" s="48"/>
      <c r="I41" s="40"/>
      <c r="J41" s="21"/>
      <c r="K41" s="22"/>
      <c r="L41" s="40"/>
      <c r="M41" s="22" t="s">
        <v>870</v>
      </c>
      <c r="N41" s="40"/>
      <c r="O41" s="48"/>
      <c r="P41" s="40"/>
      <c r="Q41" s="22"/>
      <c r="R41" s="40"/>
      <c r="S41" s="40"/>
      <c r="T41" s="40"/>
      <c r="U41" s="40"/>
      <c r="V41" s="48"/>
      <c r="W41" s="40"/>
      <c r="X41" s="40"/>
      <c r="Y41" s="40"/>
      <c r="Z41" s="40"/>
      <c r="AA41" s="40"/>
      <c r="AB41" s="40"/>
      <c r="AC41" s="48"/>
      <c r="AD41" s="40"/>
      <c r="AE41" s="40"/>
      <c r="AF41" s="40"/>
      <c r="AG41" s="40"/>
      <c r="AH41" s="91"/>
      <c r="AI41" s="40"/>
      <c r="AJ41" s="48"/>
      <c r="AK41" s="156"/>
      <c r="AL41" s="61"/>
      <c r="AN41" s="179"/>
      <c r="AO41" s="17"/>
    </row>
    <row r="42" spans="1:41" s="11" customFormat="1" ht="15.75" customHeight="1">
      <c r="A42" s="230"/>
      <c r="B42" s="91"/>
      <c r="C42" s="22"/>
      <c r="D42" s="40"/>
      <c r="E42" s="21"/>
      <c r="F42" s="40"/>
      <c r="G42" s="21"/>
      <c r="H42" s="48"/>
      <c r="I42" s="40"/>
      <c r="J42" s="21"/>
      <c r="K42" s="22"/>
      <c r="L42" s="40"/>
      <c r="M42" s="22" t="s">
        <v>899</v>
      </c>
      <c r="N42" s="40"/>
      <c r="O42" s="48"/>
      <c r="P42" s="40"/>
      <c r="Q42" s="22"/>
      <c r="R42" s="40"/>
      <c r="S42" s="42"/>
      <c r="T42" s="40"/>
      <c r="U42" s="40"/>
      <c r="V42" s="48"/>
      <c r="W42" s="40"/>
      <c r="X42" s="40"/>
      <c r="Y42" s="40"/>
      <c r="Z42" s="40"/>
      <c r="AA42" s="40"/>
      <c r="AB42" s="40"/>
      <c r="AC42" s="48"/>
      <c r="AD42" s="40"/>
      <c r="AE42" s="40"/>
      <c r="AF42" s="40"/>
      <c r="AG42" s="40"/>
      <c r="AH42" s="91"/>
      <c r="AI42" s="40"/>
      <c r="AJ42" s="48"/>
      <c r="AK42" s="156"/>
      <c r="AL42" s="61"/>
      <c r="AN42" s="179"/>
      <c r="AO42" s="17"/>
    </row>
    <row r="43" spans="1:41" s="11" customFormat="1" ht="15.75" customHeight="1">
      <c r="A43" s="230"/>
      <c r="B43" s="91"/>
      <c r="C43" s="22"/>
      <c r="D43" s="40"/>
      <c r="E43" s="21"/>
      <c r="F43" s="40"/>
      <c r="G43" s="21"/>
      <c r="H43" s="48"/>
      <c r="I43" s="40"/>
      <c r="J43" s="21"/>
      <c r="K43" s="22"/>
      <c r="L43" s="40"/>
      <c r="M43" s="22" t="s">
        <v>908</v>
      </c>
      <c r="N43" s="40"/>
      <c r="O43" s="48"/>
      <c r="P43" s="40"/>
      <c r="Q43" s="22"/>
      <c r="R43" s="40"/>
      <c r="S43" s="40"/>
      <c r="T43" s="40"/>
      <c r="U43" s="40"/>
      <c r="V43" s="48"/>
      <c r="W43" s="40"/>
      <c r="X43" s="40"/>
      <c r="Y43" s="40"/>
      <c r="Z43" s="40"/>
      <c r="AA43" s="40"/>
      <c r="AB43" s="40"/>
      <c r="AC43" s="48"/>
      <c r="AD43" s="40"/>
      <c r="AE43" s="40"/>
      <c r="AF43" s="40"/>
      <c r="AG43" s="40"/>
      <c r="AH43" s="97"/>
      <c r="AI43" s="40"/>
      <c r="AJ43" s="48"/>
      <c r="AK43" s="156"/>
      <c r="AL43" s="61"/>
      <c r="AN43" s="179"/>
      <c r="AO43" s="17"/>
    </row>
    <row r="44" spans="1:41" s="11" customFormat="1" ht="15.75" customHeight="1">
      <c r="A44" s="230"/>
      <c r="B44" s="91"/>
      <c r="C44" s="22"/>
      <c r="D44" s="40"/>
      <c r="E44" s="21"/>
      <c r="F44" s="21"/>
      <c r="G44" s="21"/>
      <c r="H44" s="48"/>
      <c r="I44" s="40"/>
      <c r="J44" s="21"/>
      <c r="K44" s="22"/>
      <c r="L44" s="40"/>
      <c r="M44" s="40"/>
      <c r="N44" s="40"/>
      <c r="O44" s="48"/>
      <c r="P44" s="40"/>
      <c r="Q44" s="22"/>
      <c r="R44" s="40"/>
      <c r="S44" s="40"/>
      <c r="T44" s="40"/>
      <c r="U44" s="40"/>
      <c r="V44" s="48"/>
      <c r="W44" s="40"/>
      <c r="X44" s="40"/>
      <c r="Y44" s="40"/>
      <c r="Z44" s="22"/>
      <c r="AA44" s="40"/>
      <c r="AB44" s="21"/>
      <c r="AC44" s="48"/>
      <c r="AD44" s="40"/>
      <c r="AE44" s="40"/>
      <c r="AF44" s="40"/>
      <c r="AG44" s="40"/>
      <c r="AH44" s="97"/>
      <c r="AI44" s="97" t="s">
        <v>1301</v>
      </c>
      <c r="AJ44" s="48"/>
      <c r="AK44" s="156"/>
      <c r="AL44" s="61"/>
      <c r="AN44" s="17"/>
      <c r="AO44" s="17"/>
    </row>
    <row r="45" spans="1:41" s="11" customFormat="1" ht="16.5" customHeight="1">
      <c r="A45" s="230"/>
      <c r="B45" s="24"/>
      <c r="C45" s="56"/>
      <c r="D45" s="24"/>
      <c r="E45" s="56"/>
      <c r="F45" s="24"/>
      <c r="G45" s="233">
        <f>1320+662+600+450+600+600</f>
        <v>4232</v>
      </c>
      <c r="H45" s="234"/>
      <c r="I45" s="24"/>
      <c r="J45" s="56"/>
      <c r="K45" s="24"/>
      <c r="L45" s="56"/>
      <c r="M45" s="233">
        <f>15+1248+928+302+575+15+311+324+65+390+107+575+1</f>
        <v>4856</v>
      </c>
      <c r="N45" s="234"/>
      <c r="O45" s="56"/>
      <c r="P45" s="56"/>
      <c r="Q45" s="24"/>
      <c r="R45" s="24"/>
      <c r="S45" s="24"/>
      <c r="T45" s="24"/>
      <c r="U45" s="233">
        <f>1602+432+3801+240+393+135+250+282</f>
        <v>7135</v>
      </c>
      <c r="V45" s="234"/>
      <c r="W45" s="24"/>
      <c r="X45" s="24"/>
      <c r="Y45" s="24"/>
      <c r="Z45" s="24"/>
      <c r="AA45" s="24"/>
      <c r="AB45" s="24"/>
      <c r="AC45" s="25"/>
      <c r="AD45" s="24"/>
      <c r="AE45" s="56"/>
      <c r="AF45" s="24"/>
      <c r="AG45" s="242">
        <f>1650+1500</f>
        <v>3150</v>
      </c>
      <c r="AH45" s="243"/>
      <c r="AI45" s="56"/>
      <c r="AJ45" s="24"/>
      <c r="AK45" s="24"/>
      <c r="AL45" s="24"/>
    </row>
    <row r="46" spans="1:41" s="11" customFormat="1" ht="2.25" customHeight="1">
      <c r="A46" s="26"/>
      <c r="B46" s="27"/>
      <c r="C46" s="27"/>
      <c r="D46" s="27"/>
      <c r="E46" s="28"/>
      <c r="F46" s="27"/>
      <c r="G46" s="44"/>
      <c r="H46" s="27"/>
      <c r="I46" s="29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30"/>
    </row>
    <row r="47" spans="1:41" s="11" customFormat="1" ht="19.5" customHeight="1">
      <c r="A47" s="12" t="s">
        <v>0</v>
      </c>
      <c r="B47" s="16"/>
      <c r="C47" s="16"/>
      <c r="D47" s="16"/>
      <c r="E47" s="16"/>
      <c r="F47" s="16"/>
      <c r="G47" s="68">
        <v>970</v>
      </c>
      <c r="H47" s="25"/>
      <c r="I47" s="16">
        <v>1080</v>
      </c>
      <c r="J47" s="16">
        <v>1490</v>
      </c>
      <c r="K47" s="16">
        <v>1490</v>
      </c>
      <c r="L47" s="16">
        <v>1490</v>
      </c>
      <c r="M47" s="68">
        <v>1190</v>
      </c>
      <c r="N47" s="16">
        <v>960</v>
      </c>
      <c r="O47" s="25"/>
      <c r="P47" s="16">
        <v>960</v>
      </c>
      <c r="Q47" s="16">
        <v>1140</v>
      </c>
      <c r="R47" s="16">
        <v>1320</v>
      </c>
      <c r="S47" s="51">
        <v>1140</v>
      </c>
      <c r="T47" s="16">
        <v>1320</v>
      </c>
      <c r="U47" s="16">
        <v>1140</v>
      </c>
      <c r="V47" s="25"/>
      <c r="W47" s="16">
        <v>1140</v>
      </c>
      <c r="X47" s="16">
        <v>1140</v>
      </c>
      <c r="Y47" s="16">
        <v>1140</v>
      </c>
      <c r="Z47" s="68">
        <v>1150</v>
      </c>
      <c r="AA47" s="16">
        <v>1280</v>
      </c>
      <c r="AB47" s="16">
        <v>1280</v>
      </c>
      <c r="AC47" s="25"/>
      <c r="AD47" s="16">
        <v>1280</v>
      </c>
      <c r="AE47" s="16">
        <v>1280</v>
      </c>
      <c r="AF47" s="16">
        <v>1280</v>
      </c>
      <c r="AG47" s="16">
        <v>1280</v>
      </c>
      <c r="AH47" s="51">
        <v>1280</v>
      </c>
      <c r="AI47" s="68">
        <v>900</v>
      </c>
      <c r="AJ47" s="25"/>
      <c r="AK47" s="16">
        <v>1000</v>
      </c>
      <c r="AL47" s="16">
        <v>1000</v>
      </c>
      <c r="AM47" s="17">
        <f>+SUM(B47:AL47)</f>
        <v>32120</v>
      </c>
    </row>
    <row r="48" spans="1:41" s="17" customFormat="1" ht="19.5" customHeight="1">
      <c r="A48" s="12" t="s">
        <v>18</v>
      </c>
      <c r="B48" s="122">
        <v>11</v>
      </c>
      <c r="C48" s="122">
        <v>11</v>
      </c>
      <c r="D48" s="122">
        <v>11</v>
      </c>
      <c r="E48" s="122">
        <v>11</v>
      </c>
      <c r="F48" s="122">
        <v>8</v>
      </c>
      <c r="G48" s="122">
        <v>8</v>
      </c>
      <c r="H48" s="25"/>
      <c r="I48" s="18">
        <v>11</v>
      </c>
      <c r="J48" s="18">
        <v>11</v>
      </c>
      <c r="K48" s="18">
        <v>11</v>
      </c>
      <c r="L48" s="18">
        <v>11</v>
      </c>
      <c r="M48" s="18">
        <v>8</v>
      </c>
      <c r="N48" s="18">
        <v>8</v>
      </c>
      <c r="O48" s="25"/>
      <c r="P48" s="18">
        <v>9.5</v>
      </c>
      <c r="Q48" s="18">
        <v>11</v>
      </c>
      <c r="R48" s="18">
        <v>9.5</v>
      </c>
      <c r="S48" s="18">
        <v>11</v>
      </c>
      <c r="T48" s="18">
        <v>9.5</v>
      </c>
      <c r="U48" s="18">
        <v>9.5</v>
      </c>
      <c r="V48" s="25"/>
      <c r="W48" s="192">
        <v>9.5</v>
      </c>
      <c r="X48" s="192">
        <v>9.5</v>
      </c>
      <c r="Y48" s="192">
        <v>9.5</v>
      </c>
      <c r="Z48" s="192">
        <v>9.5</v>
      </c>
      <c r="AA48" s="192">
        <v>9.5</v>
      </c>
      <c r="AB48" s="192">
        <v>9.5</v>
      </c>
      <c r="AC48" s="193"/>
      <c r="AD48" s="192">
        <v>9.5</v>
      </c>
      <c r="AE48" s="192">
        <v>9.5</v>
      </c>
      <c r="AF48" s="192">
        <v>9.5</v>
      </c>
      <c r="AG48" s="192">
        <v>9.5</v>
      </c>
      <c r="AH48" s="18">
        <v>8</v>
      </c>
      <c r="AI48" s="18">
        <v>8</v>
      </c>
      <c r="AJ48" s="25"/>
      <c r="AK48" s="18">
        <v>8</v>
      </c>
      <c r="AL48" s="18">
        <v>8</v>
      </c>
    </row>
    <row r="49" spans="1:38" s="17" customFormat="1" ht="17.25" customHeight="1">
      <c r="A49" s="2" t="s">
        <v>19</v>
      </c>
      <c r="B49" s="41"/>
      <c r="C49" s="41"/>
      <c r="D49" s="41"/>
      <c r="E49" s="41"/>
      <c r="F49" s="41"/>
      <c r="G49" s="41" t="s">
        <v>317</v>
      </c>
      <c r="H49" s="25"/>
      <c r="I49" s="41"/>
      <c r="J49" s="41"/>
      <c r="K49" s="41"/>
      <c r="L49" s="41"/>
      <c r="M49" s="41" t="s">
        <v>512</v>
      </c>
      <c r="N49" s="41"/>
      <c r="O49" s="25"/>
      <c r="P49" s="41"/>
      <c r="Q49" s="41"/>
      <c r="R49" s="41"/>
      <c r="S49" s="41"/>
      <c r="T49" s="41"/>
      <c r="U49" s="41"/>
      <c r="V49" s="25"/>
      <c r="W49" s="41"/>
      <c r="X49" s="41"/>
      <c r="Y49" s="41"/>
      <c r="Z49" s="41" t="s">
        <v>317</v>
      </c>
      <c r="AA49" s="41"/>
      <c r="AB49" s="41"/>
      <c r="AC49" s="25"/>
      <c r="AD49" s="41"/>
      <c r="AE49" s="41"/>
      <c r="AF49" s="41"/>
      <c r="AG49" s="41"/>
      <c r="AH49" s="41"/>
      <c r="AI49" s="41" t="s">
        <v>218</v>
      </c>
      <c r="AJ49" s="25"/>
      <c r="AK49" s="41"/>
      <c r="AL49" s="41"/>
    </row>
    <row r="50" spans="1:38" s="17" customFormat="1" ht="17.25" customHeight="1">
      <c r="A50" s="2" t="s">
        <v>20</v>
      </c>
      <c r="B50" s="20"/>
      <c r="C50" s="20"/>
      <c r="D50" s="20"/>
      <c r="E50" s="20"/>
      <c r="F50" s="20"/>
      <c r="G50" s="20">
        <v>0.9</v>
      </c>
      <c r="H50" s="25"/>
      <c r="I50" s="20"/>
      <c r="J50" s="20"/>
      <c r="K50" s="20"/>
      <c r="L50" s="20"/>
      <c r="M50" s="20">
        <v>0.9</v>
      </c>
      <c r="N50" s="20"/>
      <c r="O50" s="25"/>
      <c r="P50" s="20"/>
      <c r="Q50" s="20"/>
      <c r="R50" s="20"/>
      <c r="S50" s="20"/>
      <c r="T50" s="20"/>
      <c r="U50" s="20"/>
      <c r="V50" s="25"/>
      <c r="W50" s="20"/>
      <c r="X50" s="20"/>
      <c r="Y50" s="20"/>
      <c r="Z50" s="20">
        <v>0.9</v>
      </c>
      <c r="AA50" s="20"/>
      <c r="AB50" s="20"/>
      <c r="AC50" s="25"/>
      <c r="AD50" s="20"/>
      <c r="AE50" s="20"/>
      <c r="AF50" s="20"/>
      <c r="AG50" s="20"/>
      <c r="AH50" s="20"/>
      <c r="AI50" s="20">
        <v>0.9</v>
      </c>
      <c r="AJ50" s="25"/>
      <c r="AK50" s="20"/>
      <c r="AL50" s="20"/>
    </row>
    <row r="51" spans="1:38" s="11" customFormat="1" ht="16.5" customHeight="1">
      <c r="A51" s="229" t="s">
        <v>49</v>
      </c>
      <c r="B51" s="46"/>
      <c r="C51" s="49"/>
      <c r="D51" s="40"/>
      <c r="E51" s="47"/>
      <c r="F51" s="40"/>
      <c r="G51" s="49" t="s">
        <v>107</v>
      </c>
      <c r="H51" s="48"/>
      <c r="K51" s="40"/>
      <c r="L51" s="40"/>
      <c r="M51" s="49" t="s">
        <v>295</v>
      </c>
      <c r="O51" s="48"/>
      <c r="P51" s="40"/>
      <c r="Q51" s="40"/>
      <c r="R51" s="49"/>
      <c r="U51" s="49" t="s">
        <v>295</v>
      </c>
      <c r="V51" s="48"/>
      <c r="W51" s="40"/>
      <c r="X51" s="40"/>
      <c r="Y51" s="40"/>
      <c r="Z51" s="40"/>
      <c r="AA51" s="40"/>
      <c r="AC51" s="48"/>
      <c r="AD51" s="40"/>
      <c r="AE51" s="49" t="s">
        <v>107</v>
      </c>
      <c r="AF51" s="40"/>
      <c r="AI51" s="47"/>
      <c r="AJ51" s="48"/>
      <c r="AK51" s="62"/>
      <c r="AL51" s="61"/>
    </row>
    <row r="52" spans="1:38" s="11" customFormat="1" ht="16.5" customHeight="1">
      <c r="A52" s="230"/>
      <c r="B52" s="22"/>
      <c r="C52" s="22"/>
      <c r="D52" s="40"/>
      <c r="E52" s="21"/>
      <c r="F52" s="40"/>
      <c r="G52" s="171" t="s">
        <v>1515</v>
      </c>
      <c r="H52" s="48"/>
      <c r="I52" s="40"/>
      <c r="J52" s="40"/>
      <c r="K52" s="40"/>
      <c r="L52" s="40"/>
      <c r="M52" s="22" t="s">
        <v>296</v>
      </c>
      <c r="N52" s="40"/>
      <c r="O52" s="48"/>
      <c r="P52" s="40"/>
      <c r="Q52" s="40"/>
      <c r="R52" s="40"/>
      <c r="S52" s="40"/>
      <c r="T52" s="40"/>
      <c r="U52" s="22" t="s">
        <v>306</v>
      </c>
      <c r="V52" s="48"/>
      <c r="W52" s="40"/>
      <c r="X52" s="40"/>
      <c r="Y52" s="40"/>
      <c r="Z52" s="40"/>
      <c r="AA52" s="40"/>
      <c r="AB52" s="40"/>
      <c r="AC52" s="48"/>
      <c r="AD52" s="40"/>
      <c r="AE52" s="22" t="s">
        <v>1229</v>
      </c>
      <c r="AF52" s="40"/>
      <c r="AG52" s="40"/>
      <c r="AH52" s="40"/>
      <c r="AI52" s="21"/>
      <c r="AJ52" s="48"/>
      <c r="AK52" s="58"/>
      <c r="AL52" s="61"/>
    </row>
    <row r="53" spans="1:38" s="11" customFormat="1" ht="16.5" customHeight="1">
      <c r="A53" s="230"/>
      <c r="B53" s="22"/>
      <c r="C53" s="22"/>
      <c r="D53" s="40"/>
      <c r="E53" s="21"/>
      <c r="F53" s="40"/>
      <c r="G53" s="171" t="s">
        <v>1516</v>
      </c>
      <c r="H53" s="48"/>
      <c r="I53" s="40"/>
      <c r="J53" s="40"/>
      <c r="K53" s="40"/>
      <c r="L53" s="40"/>
      <c r="M53" s="22" t="s">
        <v>297</v>
      </c>
      <c r="N53" s="40"/>
      <c r="O53" s="48"/>
      <c r="P53" s="40"/>
      <c r="Q53" s="40"/>
      <c r="R53" s="40"/>
      <c r="S53" s="40"/>
      <c r="T53" s="40"/>
      <c r="U53" s="22" t="s">
        <v>307</v>
      </c>
      <c r="V53" s="48"/>
      <c r="W53" s="40"/>
      <c r="X53" s="40"/>
      <c r="Y53" s="40"/>
      <c r="Z53" s="40"/>
      <c r="AA53" s="40"/>
      <c r="AB53" s="40"/>
      <c r="AC53" s="48"/>
      <c r="AD53" s="40"/>
      <c r="AE53" s="22" t="s">
        <v>984</v>
      </c>
      <c r="AF53" s="40"/>
      <c r="AG53" s="40"/>
      <c r="AH53" s="40"/>
      <c r="AI53" s="21"/>
      <c r="AJ53" s="48"/>
      <c r="AK53" s="58"/>
      <c r="AL53" s="61"/>
    </row>
    <row r="54" spans="1:38" s="11" customFormat="1" ht="16.5" customHeight="1">
      <c r="A54" s="230"/>
      <c r="B54" s="22"/>
      <c r="C54" s="55"/>
      <c r="D54" s="40"/>
      <c r="E54" s="21"/>
      <c r="F54" s="40"/>
      <c r="G54" s="171" t="s">
        <v>1517</v>
      </c>
      <c r="H54" s="48"/>
      <c r="I54" s="40"/>
      <c r="J54" s="40"/>
      <c r="K54" s="40"/>
      <c r="L54" s="40"/>
      <c r="M54" s="22" t="s">
        <v>299</v>
      </c>
      <c r="N54" s="40"/>
      <c r="O54" s="48"/>
      <c r="P54" s="40"/>
      <c r="Q54" s="40"/>
      <c r="R54" s="40"/>
      <c r="S54" s="40"/>
      <c r="T54" s="40"/>
      <c r="U54" s="22" t="s">
        <v>308</v>
      </c>
      <c r="V54" s="48"/>
      <c r="W54" s="40"/>
      <c r="X54" s="40"/>
      <c r="Y54" s="40"/>
      <c r="Z54" s="40"/>
      <c r="AA54" s="40"/>
      <c r="AB54" s="40"/>
      <c r="AC54" s="48"/>
      <c r="AD54" s="40"/>
      <c r="AE54" s="22" t="s">
        <v>985</v>
      </c>
      <c r="AF54" s="40"/>
      <c r="AG54" s="40"/>
      <c r="AH54" s="40"/>
      <c r="AI54" s="21"/>
      <c r="AJ54" s="48"/>
      <c r="AK54" s="58"/>
      <c r="AL54" s="61"/>
    </row>
    <row r="55" spans="1:38" s="11" customFormat="1" ht="16.5" customHeight="1">
      <c r="A55" s="230"/>
      <c r="B55" s="22"/>
      <c r="C55" s="22"/>
      <c r="D55" s="40"/>
      <c r="E55" s="21"/>
      <c r="F55" s="40"/>
      <c r="G55" s="171" t="s">
        <v>1518</v>
      </c>
      <c r="H55" s="48"/>
      <c r="I55" s="40"/>
      <c r="J55" s="40"/>
      <c r="K55" s="40"/>
      <c r="L55" s="40"/>
      <c r="M55" s="22" t="s">
        <v>300</v>
      </c>
      <c r="N55" s="40"/>
      <c r="O55" s="48"/>
      <c r="P55" s="40"/>
      <c r="Q55" s="40"/>
      <c r="R55" s="40"/>
      <c r="S55" s="40"/>
      <c r="T55" s="40"/>
      <c r="U55" s="22" t="s">
        <v>309</v>
      </c>
      <c r="V55" s="48"/>
      <c r="W55" s="40"/>
      <c r="X55" s="40"/>
      <c r="Y55" s="40"/>
      <c r="Z55" s="40"/>
      <c r="AA55" s="40"/>
      <c r="AB55" s="40"/>
      <c r="AC55" s="48"/>
      <c r="AD55" s="40"/>
      <c r="AE55" s="22" t="s">
        <v>986</v>
      </c>
      <c r="AF55" s="40"/>
      <c r="AG55" s="40"/>
      <c r="AH55" s="40"/>
      <c r="AI55" s="21"/>
      <c r="AJ55" s="48"/>
      <c r="AK55" s="58"/>
      <c r="AL55" s="61"/>
    </row>
    <row r="56" spans="1:38" s="11" customFormat="1" ht="16.5" customHeight="1">
      <c r="A56" s="230"/>
      <c r="B56" s="22"/>
      <c r="C56" s="22"/>
      <c r="D56" s="40"/>
      <c r="E56" s="21"/>
      <c r="F56" s="40"/>
      <c r="G56" s="171" t="s">
        <v>1519</v>
      </c>
      <c r="H56" s="48"/>
      <c r="I56" s="40"/>
      <c r="J56" s="40"/>
      <c r="K56" s="40"/>
      <c r="L56" s="40"/>
      <c r="M56" s="22" t="s">
        <v>1207</v>
      </c>
      <c r="N56" s="40"/>
      <c r="O56" s="48"/>
      <c r="P56" s="40"/>
      <c r="Q56" s="40"/>
      <c r="R56" s="40"/>
      <c r="S56" s="40"/>
      <c r="T56" s="40"/>
      <c r="U56" s="22" t="s">
        <v>303</v>
      </c>
      <c r="V56" s="48"/>
      <c r="W56" s="40"/>
      <c r="X56" s="40"/>
      <c r="Y56" s="40"/>
      <c r="Z56" s="40"/>
      <c r="AA56" s="40"/>
      <c r="AB56" s="40"/>
      <c r="AC56" s="48"/>
      <c r="AD56" s="40"/>
      <c r="AE56" s="22" t="s">
        <v>108</v>
      </c>
      <c r="AF56" s="40"/>
      <c r="AG56" s="40"/>
      <c r="AH56" s="40"/>
      <c r="AI56" s="21"/>
      <c r="AJ56" s="48"/>
      <c r="AK56" s="58"/>
      <c r="AL56" s="61"/>
    </row>
    <row r="57" spans="1:38" s="11" customFormat="1" ht="16.5" customHeight="1">
      <c r="A57" s="230"/>
      <c r="B57" s="22"/>
      <c r="C57" s="22"/>
      <c r="D57" s="40"/>
      <c r="E57" s="21"/>
      <c r="G57" s="171" t="s">
        <v>1520</v>
      </c>
      <c r="H57" s="48"/>
      <c r="I57" s="40"/>
      <c r="J57" s="40"/>
      <c r="K57" s="40"/>
      <c r="L57" s="40"/>
      <c r="M57" s="22" t="s">
        <v>1206</v>
      </c>
      <c r="N57" s="40"/>
      <c r="O57" s="48"/>
      <c r="P57" s="40"/>
      <c r="Q57" s="40"/>
      <c r="R57" s="40"/>
      <c r="S57" s="40"/>
      <c r="T57" s="40"/>
      <c r="U57" s="22" t="s">
        <v>304</v>
      </c>
      <c r="V57" s="48"/>
      <c r="W57" s="40"/>
      <c r="X57" s="40"/>
      <c r="Y57" s="40"/>
      <c r="Z57" s="40"/>
      <c r="AA57" s="40"/>
      <c r="AB57" s="40"/>
      <c r="AC57" s="48"/>
      <c r="AD57" s="40"/>
      <c r="AE57" s="22" t="s">
        <v>1228</v>
      </c>
      <c r="AF57" s="40"/>
      <c r="AG57" s="40"/>
      <c r="AH57" s="40"/>
      <c r="AI57" s="21"/>
      <c r="AJ57" s="48"/>
      <c r="AK57" s="58"/>
      <c r="AL57" s="61"/>
    </row>
    <row r="58" spans="1:38" s="11" customFormat="1" ht="16.5" customHeight="1">
      <c r="A58" s="230"/>
      <c r="B58" s="22"/>
      <c r="C58" s="22"/>
      <c r="D58" s="40"/>
      <c r="E58" s="21"/>
      <c r="F58" s="40"/>
      <c r="G58" s="171" t="s">
        <v>1521</v>
      </c>
      <c r="H58" s="48"/>
      <c r="I58" s="40"/>
      <c r="J58" s="40"/>
      <c r="K58" s="40"/>
      <c r="L58" s="40"/>
      <c r="M58" s="22" t="s">
        <v>298</v>
      </c>
      <c r="N58" s="40"/>
      <c r="O58" s="48"/>
      <c r="P58" s="40"/>
      <c r="Q58" s="40"/>
      <c r="R58" s="40"/>
      <c r="S58" s="40"/>
      <c r="T58" s="40"/>
      <c r="U58" s="22" t="s">
        <v>305</v>
      </c>
      <c r="V58" s="48"/>
      <c r="W58" s="40"/>
      <c r="X58" s="40"/>
      <c r="Y58" s="40"/>
      <c r="Z58" s="40"/>
      <c r="AA58" s="40"/>
      <c r="AB58" s="40"/>
      <c r="AC58" s="48"/>
      <c r="AD58" s="40"/>
      <c r="AE58" s="22" t="s">
        <v>1096</v>
      </c>
      <c r="AF58" s="40"/>
      <c r="AG58" s="40"/>
      <c r="AH58" s="40"/>
      <c r="AI58" s="21"/>
      <c r="AJ58" s="48"/>
      <c r="AK58" s="58"/>
      <c r="AL58" s="61"/>
    </row>
    <row r="59" spans="1:38" s="11" customFormat="1" ht="16.5" customHeight="1">
      <c r="A59" s="230"/>
      <c r="B59" s="22"/>
      <c r="C59" s="22"/>
      <c r="D59" s="40"/>
      <c r="E59" s="21"/>
      <c r="F59" s="40"/>
      <c r="G59" s="171" t="s">
        <v>1523</v>
      </c>
      <c r="H59" s="48"/>
      <c r="I59" s="40"/>
      <c r="J59" s="40"/>
      <c r="K59" s="40"/>
      <c r="L59" s="40"/>
      <c r="M59" s="22" t="s">
        <v>1205</v>
      </c>
      <c r="N59" s="40"/>
      <c r="O59" s="48"/>
      <c r="P59" s="40"/>
      <c r="Q59" s="40"/>
      <c r="R59" s="40"/>
      <c r="S59" s="40"/>
      <c r="T59" s="40"/>
      <c r="U59" s="22" t="s">
        <v>313</v>
      </c>
      <c r="V59" s="48"/>
      <c r="W59" s="40"/>
      <c r="X59" s="40"/>
      <c r="Y59" s="40"/>
      <c r="Z59" s="40"/>
      <c r="AA59" s="40"/>
      <c r="AB59" s="40"/>
      <c r="AC59" s="48"/>
      <c r="AD59" s="40"/>
      <c r="AE59" s="22" t="s">
        <v>1095</v>
      </c>
      <c r="AF59" s="40"/>
      <c r="AG59" s="40"/>
      <c r="AH59" s="40"/>
      <c r="AI59" s="21"/>
      <c r="AJ59" s="48"/>
      <c r="AK59" s="58"/>
      <c r="AL59" s="61"/>
    </row>
    <row r="60" spans="1:38" s="11" customFormat="1" ht="16.5" customHeight="1">
      <c r="A60" s="230"/>
      <c r="B60" s="22"/>
      <c r="C60" s="22"/>
      <c r="D60" s="40"/>
      <c r="E60" s="203"/>
      <c r="F60" s="40"/>
      <c r="G60" s="171" t="s">
        <v>1524</v>
      </c>
      <c r="H60" s="48"/>
      <c r="I60" s="40"/>
      <c r="J60" s="40"/>
      <c r="K60" s="40"/>
      <c r="L60" s="40"/>
      <c r="M60" s="22" t="s">
        <v>1204</v>
      </c>
      <c r="N60" s="40"/>
      <c r="O60" s="48"/>
      <c r="P60" s="40"/>
      <c r="Q60" s="40"/>
      <c r="R60" s="40"/>
      <c r="S60" s="40"/>
      <c r="T60" s="40"/>
      <c r="U60" s="22" t="s">
        <v>314</v>
      </c>
      <c r="V60" s="48"/>
      <c r="W60" s="40"/>
      <c r="X60" s="40"/>
      <c r="Y60" s="40"/>
      <c r="Z60" s="40"/>
      <c r="AA60" s="40"/>
      <c r="AB60" s="40"/>
      <c r="AC60" s="48"/>
      <c r="AD60" s="40"/>
      <c r="AE60" s="49" t="s">
        <v>295</v>
      </c>
      <c r="AF60" s="40"/>
      <c r="AG60" s="40"/>
      <c r="AH60" s="40"/>
      <c r="AI60" s="21"/>
      <c r="AJ60" s="231">
        <f>+SUM(B72:AL72)</f>
        <v>32289</v>
      </c>
      <c r="AK60" s="232"/>
      <c r="AL60" s="23" t="s">
        <v>1</v>
      </c>
    </row>
    <row r="61" spans="1:38" s="11" customFormat="1" ht="16.5" customHeight="1">
      <c r="A61" s="230"/>
      <c r="B61" s="91" t="s">
        <v>909</v>
      </c>
      <c r="C61" s="22"/>
      <c r="D61" s="40"/>
      <c r="E61" s="21"/>
      <c r="F61" s="40"/>
      <c r="G61" s="171" t="s">
        <v>1525</v>
      </c>
      <c r="H61" s="48"/>
      <c r="I61" s="40"/>
      <c r="J61" s="40"/>
      <c r="K61" s="40"/>
      <c r="L61" s="40"/>
      <c r="M61" s="22" t="s">
        <v>1203</v>
      </c>
      <c r="N61" s="40"/>
      <c r="O61" s="48"/>
      <c r="P61" s="40"/>
      <c r="Q61" s="40"/>
      <c r="R61" s="40"/>
      <c r="S61" s="40"/>
      <c r="T61" s="40"/>
      <c r="U61" s="22" t="s">
        <v>1202</v>
      </c>
      <c r="V61" s="48"/>
      <c r="W61" s="40"/>
      <c r="X61" s="40"/>
      <c r="Y61" s="40"/>
      <c r="Z61" s="40"/>
      <c r="AA61" s="40"/>
      <c r="AB61" s="40"/>
      <c r="AC61" s="48"/>
      <c r="AD61" s="40"/>
      <c r="AE61" s="22" t="s">
        <v>1113</v>
      </c>
      <c r="AF61" s="40"/>
      <c r="AG61" s="40"/>
      <c r="AH61" s="40"/>
      <c r="AI61" s="21"/>
      <c r="AJ61" s="48"/>
      <c r="AK61" s="58"/>
      <c r="AL61" s="61"/>
    </row>
    <row r="62" spans="1:38" s="11" customFormat="1" ht="16.5" customHeight="1">
      <c r="A62" s="230"/>
      <c r="B62" s="22"/>
      <c r="C62" s="22"/>
      <c r="D62" s="40"/>
      <c r="E62" s="21"/>
      <c r="F62" s="40"/>
      <c r="G62" s="171" t="s">
        <v>1526</v>
      </c>
      <c r="H62" s="48"/>
      <c r="I62" s="40"/>
      <c r="J62" s="40"/>
      <c r="K62" s="40"/>
      <c r="L62" s="40"/>
      <c r="M62" s="22" t="s">
        <v>311</v>
      </c>
      <c r="N62" s="40"/>
      <c r="O62" s="48"/>
      <c r="P62" s="40"/>
      <c r="Q62" s="40"/>
      <c r="R62" s="40"/>
      <c r="S62" s="40"/>
      <c r="T62" s="40"/>
      <c r="U62" s="49" t="s">
        <v>107</v>
      </c>
      <c r="V62" s="48"/>
      <c r="W62" s="40"/>
      <c r="X62" s="40"/>
      <c r="Y62" s="40"/>
      <c r="Z62" s="40"/>
      <c r="AA62" s="40"/>
      <c r="AB62" s="40"/>
      <c r="AC62" s="48"/>
      <c r="AD62" s="40"/>
      <c r="AE62" s="22" t="s">
        <v>1114</v>
      </c>
      <c r="AF62" s="40"/>
      <c r="AG62" s="40"/>
      <c r="AH62" s="40"/>
      <c r="AI62" s="21"/>
      <c r="AJ62" s="48"/>
      <c r="AK62" s="58"/>
      <c r="AL62" s="61"/>
    </row>
    <row r="63" spans="1:38" s="11" customFormat="1" ht="16.5" customHeight="1">
      <c r="A63" s="230"/>
      <c r="B63" s="22"/>
      <c r="C63" s="40"/>
      <c r="D63" s="40"/>
      <c r="E63" s="21"/>
      <c r="F63" s="40"/>
      <c r="G63" s="171" t="s">
        <v>1527</v>
      </c>
      <c r="H63" s="48"/>
      <c r="I63" s="40"/>
      <c r="J63" s="40"/>
      <c r="K63" s="40"/>
      <c r="L63" s="40"/>
      <c r="M63" s="22" t="s">
        <v>301</v>
      </c>
      <c r="N63" s="40"/>
      <c r="O63" s="48"/>
      <c r="P63" s="40"/>
      <c r="Q63" s="40"/>
      <c r="R63" s="40"/>
      <c r="S63" s="40"/>
      <c r="T63" s="40"/>
      <c r="U63" s="22" t="s">
        <v>978</v>
      </c>
      <c r="V63" s="48"/>
      <c r="W63" s="40"/>
      <c r="X63" s="40"/>
      <c r="Y63" s="40"/>
      <c r="Z63" s="40"/>
      <c r="AA63" s="40"/>
      <c r="AB63" s="40"/>
      <c r="AC63" s="48"/>
      <c r="AD63" s="40"/>
      <c r="AE63" s="22" t="s">
        <v>1115</v>
      </c>
      <c r="AF63" s="40"/>
      <c r="AG63" s="40"/>
      <c r="AH63" s="40"/>
      <c r="AI63" s="21"/>
      <c r="AJ63" s="48"/>
      <c r="AL63" s="61"/>
    </row>
    <row r="64" spans="1:38" s="11" customFormat="1" ht="16.5" customHeight="1">
      <c r="A64" s="230"/>
      <c r="B64" s="22"/>
      <c r="C64" s="40"/>
      <c r="D64" s="40"/>
      <c r="E64" s="21"/>
      <c r="F64" s="40"/>
      <c r="G64" s="171" t="s">
        <v>1528</v>
      </c>
      <c r="H64" s="48"/>
      <c r="I64" s="40"/>
      <c r="J64" s="40"/>
      <c r="K64" s="40"/>
      <c r="L64" s="40"/>
      <c r="M64" s="22" t="s">
        <v>1201</v>
      </c>
      <c r="N64" s="40"/>
      <c r="O64" s="48"/>
      <c r="P64" s="40"/>
      <c r="Q64" s="40"/>
      <c r="R64" s="40"/>
      <c r="S64" s="40"/>
      <c r="T64" s="40"/>
      <c r="U64" s="22" t="s">
        <v>979</v>
      </c>
      <c r="V64" s="48"/>
      <c r="W64" s="40"/>
      <c r="X64" s="40"/>
      <c r="Y64" s="40"/>
      <c r="Z64" s="40"/>
      <c r="AA64" s="40"/>
      <c r="AB64" s="40"/>
      <c r="AC64" s="48"/>
      <c r="AD64" s="40"/>
      <c r="AE64" s="22" t="s">
        <v>1116</v>
      </c>
      <c r="AF64" s="40"/>
      <c r="AG64" s="40"/>
      <c r="AH64" s="40"/>
      <c r="AI64" s="21"/>
      <c r="AJ64" s="48"/>
      <c r="AK64" s="58"/>
      <c r="AL64" s="61"/>
    </row>
    <row r="65" spans="1:38" s="11" customFormat="1" ht="16.5" customHeight="1">
      <c r="A65" s="230"/>
      <c r="B65" s="91"/>
      <c r="C65" s="40"/>
      <c r="D65" s="40"/>
      <c r="E65" s="40"/>
      <c r="F65" s="40"/>
      <c r="G65" s="171" t="s">
        <v>1529</v>
      </c>
      <c r="H65" s="48"/>
      <c r="I65" s="40"/>
      <c r="J65" s="40"/>
      <c r="K65" s="40"/>
      <c r="L65" s="40"/>
      <c r="M65" s="22" t="s">
        <v>1200</v>
      </c>
      <c r="N65" s="40"/>
      <c r="O65" s="48"/>
      <c r="P65" s="40"/>
      <c r="Q65" s="40"/>
      <c r="R65" s="40"/>
      <c r="S65" s="40"/>
      <c r="T65" s="40"/>
      <c r="U65" s="22" t="s">
        <v>1227</v>
      </c>
      <c r="V65" s="48"/>
      <c r="W65" s="40"/>
      <c r="X65" s="40"/>
      <c r="Y65" s="40"/>
      <c r="Z65" s="40"/>
      <c r="AA65" s="40"/>
      <c r="AB65" s="40"/>
      <c r="AC65" s="48"/>
      <c r="AD65" s="40"/>
      <c r="AE65" s="104" t="s">
        <v>1117</v>
      </c>
      <c r="AF65" s="40"/>
      <c r="AG65" s="40"/>
      <c r="AH65" s="40"/>
      <c r="AI65" s="21"/>
      <c r="AJ65" s="48"/>
      <c r="AK65" s="156"/>
      <c r="AL65" s="61"/>
    </row>
    <row r="66" spans="1:38" s="11" customFormat="1" ht="16.5" customHeight="1">
      <c r="A66" s="230"/>
      <c r="B66" s="91"/>
      <c r="C66" s="40"/>
      <c r="D66" s="40"/>
      <c r="E66" s="40"/>
      <c r="F66" s="40"/>
      <c r="G66" s="171" t="s">
        <v>1530</v>
      </c>
      <c r="H66" s="48"/>
      <c r="I66" s="40"/>
      <c r="J66" s="40"/>
      <c r="K66" s="40"/>
      <c r="L66" s="40"/>
      <c r="M66" s="22" t="s">
        <v>302</v>
      </c>
      <c r="N66" s="40"/>
      <c r="O66" s="48"/>
      <c r="P66" s="40"/>
      <c r="Q66" s="40"/>
      <c r="R66" s="40"/>
      <c r="S66" s="40"/>
      <c r="T66" s="40"/>
      <c r="U66" s="22" t="s">
        <v>980</v>
      </c>
      <c r="V66" s="48"/>
      <c r="W66" s="40"/>
      <c r="X66" s="40"/>
      <c r="Y66" s="40"/>
      <c r="Z66" s="40"/>
      <c r="AA66" s="40"/>
      <c r="AB66" s="40"/>
      <c r="AC66" s="48"/>
      <c r="AD66" s="40"/>
      <c r="AE66" s="104" t="s">
        <v>1118</v>
      </c>
      <c r="AF66" s="40"/>
      <c r="AG66" s="40"/>
      <c r="AH66" s="91"/>
      <c r="AI66" s="40"/>
      <c r="AJ66" s="48"/>
      <c r="AK66" s="156"/>
      <c r="AL66" s="61"/>
    </row>
    <row r="67" spans="1:38" s="11" customFormat="1" ht="16.5" customHeight="1">
      <c r="A67" s="230"/>
      <c r="B67" s="91"/>
      <c r="C67" s="40"/>
      <c r="D67" s="40"/>
      <c r="E67" s="40"/>
      <c r="F67" s="40"/>
      <c r="G67" s="195" t="s">
        <v>1365</v>
      </c>
      <c r="H67" s="48"/>
      <c r="I67" s="40"/>
      <c r="J67" s="40"/>
      <c r="K67" s="40"/>
      <c r="L67" s="40"/>
      <c r="M67" s="22" t="s">
        <v>312</v>
      </c>
      <c r="N67" s="40"/>
      <c r="O67" s="48"/>
      <c r="P67" s="40"/>
      <c r="Q67" s="40"/>
      <c r="R67" s="40"/>
      <c r="S67" s="40"/>
      <c r="T67" s="40"/>
      <c r="U67" s="22" t="s">
        <v>981</v>
      </c>
      <c r="V67" s="48"/>
      <c r="W67" s="40"/>
      <c r="X67" s="40"/>
      <c r="Y67" s="21"/>
      <c r="Z67" s="40"/>
      <c r="AA67" s="40"/>
      <c r="AB67" s="21"/>
      <c r="AC67" s="48"/>
      <c r="AD67" s="40"/>
      <c r="AE67" s="104" t="s">
        <v>1119</v>
      </c>
      <c r="AF67" s="40"/>
      <c r="AG67" s="40"/>
      <c r="AH67" s="91"/>
      <c r="AI67" s="40"/>
      <c r="AJ67" s="48"/>
      <c r="AK67" s="156"/>
      <c r="AL67" s="61"/>
    </row>
    <row r="68" spans="1:38" s="11" customFormat="1" ht="16.5" customHeight="1">
      <c r="A68" s="230"/>
      <c r="B68" s="91"/>
      <c r="C68" s="40"/>
      <c r="D68" s="40"/>
      <c r="E68" s="40"/>
      <c r="F68" s="40"/>
      <c r="G68" s="21"/>
      <c r="H68" s="48"/>
      <c r="I68" s="40"/>
      <c r="J68" s="40"/>
      <c r="K68" s="40"/>
      <c r="L68" s="40"/>
      <c r="M68" s="22" t="s">
        <v>310</v>
      </c>
      <c r="N68" s="40"/>
      <c r="O68" s="48"/>
      <c r="P68" s="40"/>
      <c r="Q68" s="40"/>
      <c r="R68" s="40"/>
      <c r="S68" s="40"/>
      <c r="T68" s="40"/>
      <c r="U68" s="22" t="s">
        <v>982</v>
      </c>
      <c r="V68" s="48"/>
      <c r="W68" s="40"/>
      <c r="X68" s="40"/>
      <c r="Y68" s="49"/>
      <c r="Z68" s="40"/>
      <c r="AA68" s="40"/>
      <c r="AB68" s="21"/>
      <c r="AC68" s="48"/>
      <c r="AD68" s="40"/>
      <c r="AE68" s="40"/>
      <c r="AF68" s="40"/>
      <c r="AG68" s="40"/>
      <c r="AH68" s="91"/>
      <c r="AI68" s="40"/>
      <c r="AJ68" s="48"/>
      <c r="AK68" s="156"/>
      <c r="AL68" s="61"/>
    </row>
    <row r="69" spans="1:38" s="11" customFormat="1" ht="16.5" customHeight="1">
      <c r="A69" s="230"/>
      <c r="B69" s="91"/>
      <c r="C69" s="22"/>
      <c r="D69" s="40"/>
      <c r="E69" s="40"/>
      <c r="F69" s="40"/>
      <c r="H69" s="48"/>
      <c r="I69" s="40"/>
      <c r="J69" s="40"/>
      <c r="K69" s="40"/>
      <c r="L69" s="40"/>
      <c r="M69" s="22" t="s">
        <v>1199</v>
      </c>
      <c r="N69" s="40"/>
      <c r="O69" s="48"/>
      <c r="P69" s="40"/>
      <c r="Q69" s="40"/>
      <c r="R69" s="22"/>
      <c r="S69" s="40"/>
      <c r="T69" s="40"/>
      <c r="U69" s="22" t="s">
        <v>983</v>
      </c>
      <c r="V69" s="48"/>
      <c r="W69" s="40"/>
      <c r="X69" s="40"/>
      <c r="Y69" s="40"/>
      <c r="Z69" s="40"/>
      <c r="AA69" s="40"/>
      <c r="AB69" s="21"/>
      <c r="AC69" s="48"/>
      <c r="AD69" s="40"/>
      <c r="AE69" s="40"/>
      <c r="AF69" s="40"/>
      <c r="AG69" s="40"/>
      <c r="AH69" s="91"/>
      <c r="AI69" s="40"/>
      <c r="AJ69" s="48"/>
      <c r="AK69" s="156"/>
      <c r="AL69" s="61"/>
    </row>
    <row r="70" spans="1:38" s="11" customFormat="1" ht="16.5" customHeight="1">
      <c r="A70" s="230"/>
      <c r="B70" s="91"/>
      <c r="C70" s="22"/>
      <c r="D70" s="40"/>
      <c r="E70" s="21"/>
      <c r="F70" s="40"/>
      <c r="G70" s="21"/>
      <c r="H70" s="48"/>
      <c r="I70" s="40"/>
      <c r="J70" s="40"/>
      <c r="K70" s="40"/>
      <c r="L70" s="40"/>
      <c r="M70" s="22" t="s">
        <v>316</v>
      </c>
      <c r="N70" s="40"/>
      <c r="O70" s="48"/>
      <c r="P70" s="40"/>
      <c r="Q70" s="40"/>
      <c r="R70" s="22"/>
      <c r="S70" s="40"/>
      <c r="T70" s="40"/>
      <c r="U70" s="21"/>
      <c r="V70" s="48"/>
      <c r="W70" s="40"/>
      <c r="X70" s="40"/>
      <c r="Y70" s="40"/>
      <c r="Z70" s="40"/>
      <c r="AA70" s="40"/>
      <c r="AB70" s="21"/>
      <c r="AC70" s="48"/>
      <c r="AD70" s="40"/>
      <c r="AE70" s="40"/>
      <c r="AF70" s="40"/>
      <c r="AG70" s="40"/>
      <c r="AH70" s="91"/>
      <c r="AI70" s="40"/>
      <c r="AJ70" s="48"/>
      <c r="AK70" s="156"/>
      <c r="AL70" s="61"/>
    </row>
    <row r="71" spans="1:38" s="11" customFormat="1" ht="16.5" customHeight="1">
      <c r="A71" s="230"/>
      <c r="B71" s="91"/>
      <c r="C71" s="22"/>
      <c r="D71" s="40"/>
      <c r="E71" s="21"/>
      <c r="F71" s="40"/>
      <c r="G71" s="21"/>
      <c r="H71" s="48"/>
      <c r="I71" s="40"/>
      <c r="J71" s="40"/>
      <c r="K71" s="40"/>
      <c r="L71" s="40"/>
      <c r="M71" s="22" t="s">
        <v>315</v>
      </c>
      <c r="N71" s="40"/>
      <c r="O71" s="48"/>
      <c r="P71" s="40"/>
      <c r="Q71" s="40"/>
      <c r="R71" s="22"/>
      <c r="S71" s="40"/>
      <c r="T71" s="40"/>
      <c r="U71" s="21"/>
      <c r="V71" s="48"/>
      <c r="W71" s="21"/>
      <c r="X71" s="40"/>
      <c r="Y71" s="40"/>
      <c r="Z71" s="40"/>
      <c r="AA71" s="40"/>
      <c r="AB71" s="21"/>
      <c r="AC71" s="48"/>
      <c r="AD71" s="40"/>
      <c r="AE71" s="40"/>
      <c r="AF71" s="40"/>
      <c r="AG71" s="40"/>
      <c r="AH71" s="91"/>
      <c r="AI71" s="97" t="s">
        <v>1628</v>
      </c>
      <c r="AJ71" s="48"/>
      <c r="AK71" s="156"/>
      <c r="AL71" s="61"/>
    </row>
    <row r="72" spans="1:38" s="11" customFormat="1" ht="16.5" customHeight="1">
      <c r="A72" s="230"/>
      <c r="B72" s="24"/>
      <c r="C72" s="56"/>
      <c r="D72" s="24"/>
      <c r="E72" s="56"/>
      <c r="F72" s="24"/>
      <c r="G72" s="233">
        <f>150+500+380+310+656+301+250+1100+310+636+613+100+779+150+384</f>
        <v>6619</v>
      </c>
      <c r="H72" s="234"/>
      <c r="I72" s="24"/>
      <c r="J72" s="24"/>
      <c r="K72" s="56"/>
      <c r="L72" s="56"/>
      <c r="M72" s="185">
        <f>326+689+175+120+20+16+318+10+135+93+40+16+471+41+667+2+189+132+130+82+36+570+2+145+169+240+1612+1143</f>
        <v>7589</v>
      </c>
      <c r="N72" s="56"/>
      <c r="O72" s="56"/>
      <c r="P72" s="56"/>
      <c r="Q72" s="24"/>
      <c r="R72" s="24"/>
      <c r="S72" s="56"/>
      <c r="T72" s="24"/>
      <c r="U72" s="233">
        <f>158+239+404+310+246+645+364+790+1507+572+50+1267+486+564+747+432+150+260</f>
        <v>9191</v>
      </c>
      <c r="V72" s="234"/>
      <c r="W72" s="56"/>
      <c r="X72" s="24"/>
      <c r="Y72" s="56"/>
      <c r="Z72" s="24"/>
      <c r="AA72" s="56"/>
      <c r="AB72" s="56"/>
      <c r="AC72" s="24"/>
      <c r="AD72" s="56"/>
      <c r="AE72" s="233">
        <f>564+430+432+432+688+569+310+310+1090+375+90+3097+207+243+53</f>
        <v>8890</v>
      </c>
      <c r="AF72" s="234"/>
      <c r="AG72" s="56"/>
      <c r="AH72" s="56"/>
      <c r="AI72" s="56"/>
      <c r="AJ72" s="56"/>
      <c r="AK72" s="56"/>
      <c r="AL72" s="56"/>
    </row>
    <row r="73" spans="1:38" s="11" customFormat="1" ht="2.25" customHeight="1">
      <c r="A73" s="26"/>
      <c r="B73" s="27"/>
      <c r="C73" s="27"/>
      <c r="D73" s="27"/>
      <c r="E73" s="28"/>
      <c r="F73" s="27"/>
      <c r="G73" s="27"/>
      <c r="H73" s="27"/>
      <c r="I73" s="27"/>
      <c r="J73" s="44"/>
      <c r="K73" s="44"/>
      <c r="L73" s="44"/>
      <c r="M73" s="44"/>
      <c r="N73" s="44"/>
      <c r="O73" s="27"/>
      <c r="P73" s="27"/>
      <c r="Q73" s="44"/>
      <c r="R73" s="44"/>
      <c r="S73" s="44"/>
      <c r="T73" s="44"/>
      <c r="U73" s="44"/>
      <c r="V73" s="27"/>
      <c r="W73" s="27"/>
      <c r="X73" s="44"/>
      <c r="Y73" s="44"/>
      <c r="Z73" s="44"/>
      <c r="AA73" s="44"/>
      <c r="AB73" s="44"/>
      <c r="AC73" s="27"/>
      <c r="AD73" s="27"/>
      <c r="AE73" s="44"/>
      <c r="AF73" s="44"/>
      <c r="AG73" s="44"/>
      <c r="AH73" s="44"/>
      <c r="AI73" s="44"/>
      <c r="AJ73" s="30"/>
      <c r="AK73" s="44"/>
      <c r="AL73" s="30"/>
    </row>
    <row r="74" spans="1:38" s="57" customFormat="1" ht="32.25" customHeight="1">
      <c r="A74" s="236" t="s">
        <v>2</v>
      </c>
      <c r="B74" s="38" t="s">
        <v>3</v>
      </c>
      <c r="C74" s="32"/>
      <c r="D74" s="31"/>
      <c r="E74" s="31"/>
      <c r="F74" s="32"/>
      <c r="G74" s="32"/>
      <c r="H74" s="32"/>
      <c r="I74" s="238" t="s">
        <v>4</v>
      </c>
      <c r="J74" s="32"/>
      <c r="K74" s="32"/>
      <c r="L74" s="32"/>
      <c r="M74" s="32"/>
      <c r="N74" s="32"/>
      <c r="O74" s="32"/>
      <c r="P74" s="238" t="s">
        <v>5</v>
      </c>
      <c r="Q74" s="32"/>
      <c r="R74" s="32"/>
      <c r="S74" s="32"/>
      <c r="T74" s="32"/>
      <c r="U74" s="32"/>
      <c r="V74" s="32"/>
      <c r="W74" s="238" t="s">
        <v>6</v>
      </c>
      <c r="X74" s="32"/>
      <c r="Y74" s="32"/>
      <c r="Z74" s="32"/>
      <c r="AA74" s="32"/>
      <c r="AB74" s="32"/>
      <c r="AC74" s="32"/>
      <c r="AD74" s="238" t="s">
        <v>46</v>
      </c>
      <c r="AE74" s="32"/>
      <c r="AF74" s="32"/>
      <c r="AG74" s="32"/>
      <c r="AH74" s="32"/>
      <c r="AI74" s="32"/>
      <c r="AJ74" s="32"/>
      <c r="AK74" s="32"/>
      <c r="AL74" s="33"/>
    </row>
    <row r="75" spans="1:38" s="57" customFormat="1" ht="32.25" customHeight="1" thickBot="1">
      <c r="A75" s="237"/>
      <c r="B75" s="39" t="s">
        <v>7</v>
      </c>
      <c r="C75" s="35"/>
      <c r="D75" s="34"/>
      <c r="E75" s="34"/>
      <c r="F75" s="35"/>
      <c r="G75" s="35"/>
      <c r="H75" s="35"/>
      <c r="I75" s="239"/>
      <c r="J75" s="35"/>
      <c r="K75" s="35"/>
      <c r="L75" s="35"/>
      <c r="M75" s="35"/>
      <c r="N75" s="35"/>
      <c r="O75" s="35"/>
      <c r="P75" s="239"/>
      <c r="Q75" s="35"/>
      <c r="R75" s="35"/>
      <c r="S75" s="35"/>
      <c r="T75" s="35"/>
      <c r="U75" s="35"/>
      <c r="V75" s="35"/>
      <c r="W75" s="239"/>
      <c r="X75" s="35"/>
      <c r="Y75" s="35"/>
      <c r="Z75" s="35"/>
      <c r="AA75" s="35"/>
      <c r="AB75" s="35"/>
      <c r="AC75" s="35"/>
      <c r="AD75" s="239"/>
      <c r="AE75" s="35"/>
      <c r="AF75" s="35"/>
      <c r="AG75" s="35"/>
      <c r="AH75" s="35"/>
      <c r="AI75" s="35"/>
      <c r="AJ75" s="35"/>
      <c r="AK75" s="35"/>
      <c r="AL75" s="36"/>
    </row>
  </sheetData>
  <mergeCells count="23">
    <mergeCell ref="A9:A24"/>
    <mergeCell ref="AJ15:AK15"/>
    <mergeCell ref="F24:G24"/>
    <mergeCell ref="W24:X24"/>
    <mergeCell ref="AA24:AB24"/>
    <mergeCell ref="AK24:AL24"/>
    <mergeCell ref="AH24:AI24"/>
    <mergeCell ref="A30:A45"/>
    <mergeCell ref="AJ38:AK38"/>
    <mergeCell ref="M45:N45"/>
    <mergeCell ref="AG45:AH45"/>
    <mergeCell ref="G45:H45"/>
    <mergeCell ref="U45:V45"/>
    <mergeCell ref="A74:A75"/>
    <mergeCell ref="I74:I75"/>
    <mergeCell ref="P74:P75"/>
    <mergeCell ref="W74:W75"/>
    <mergeCell ref="AD74:AD75"/>
    <mergeCell ref="A51:A72"/>
    <mergeCell ref="AJ60:AK60"/>
    <mergeCell ref="AE72:AF72"/>
    <mergeCell ref="G72:H72"/>
    <mergeCell ref="U72:V72"/>
  </mergeCells>
  <phoneticPr fontId="48" type="noConversion"/>
  <printOptions horizontalCentered="1"/>
  <pageMargins left="0" right="0" top="0" bottom="0" header="0" footer="0"/>
  <pageSetup paperSize="9"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M92"/>
  <sheetViews>
    <sheetView zoomScale="75" zoomScaleNormal="75" workbookViewId="0">
      <pane ySplit="4" topLeftCell="A84" activePane="bottomLeft" state="frozen"/>
      <selection activeCell="X50" sqref="X50"/>
      <selection pane="bottomLeft" activeCell="T14" sqref="T14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39" s="4" customFormat="1" ht="22">
      <c r="A1" s="3"/>
      <c r="B1" s="7"/>
      <c r="Q1" s="1" t="s">
        <v>1217</v>
      </c>
      <c r="AJ1" s="5" t="s">
        <v>1645</v>
      </c>
    </row>
    <row r="2" spans="1:39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39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39" s="11" customFormat="1" ht="17.25" customHeight="1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39" s="11" customFormat="1" ht="16.5" customHeight="1">
      <c r="A5" s="12" t="s">
        <v>0</v>
      </c>
      <c r="B5" s="16"/>
      <c r="C5" s="16"/>
      <c r="D5" s="16"/>
      <c r="E5" s="16"/>
      <c r="F5" s="16"/>
      <c r="G5" s="68">
        <v>500</v>
      </c>
      <c r="H5" s="25"/>
      <c r="I5" s="16">
        <v>560</v>
      </c>
      <c r="J5" s="16">
        <v>770</v>
      </c>
      <c r="K5" s="16">
        <v>770</v>
      </c>
      <c r="L5" s="16">
        <v>770</v>
      </c>
      <c r="M5" s="68">
        <v>690</v>
      </c>
      <c r="N5" s="68">
        <v>500</v>
      </c>
      <c r="O5" s="25"/>
      <c r="P5" s="16">
        <v>560</v>
      </c>
      <c r="Q5" s="16">
        <v>670</v>
      </c>
      <c r="R5" s="16">
        <v>770</v>
      </c>
      <c r="S5" s="16">
        <v>670</v>
      </c>
      <c r="T5" s="16">
        <v>770</v>
      </c>
      <c r="U5" s="51">
        <v>670</v>
      </c>
      <c r="V5" s="25"/>
      <c r="W5" s="16">
        <v>560</v>
      </c>
      <c r="X5" s="16">
        <v>560</v>
      </c>
      <c r="Y5" s="16">
        <v>560</v>
      </c>
      <c r="Z5" s="68">
        <v>500</v>
      </c>
      <c r="AA5" s="16">
        <v>560</v>
      </c>
      <c r="AB5" s="16">
        <v>560</v>
      </c>
      <c r="AC5" s="25"/>
      <c r="AD5" s="16">
        <v>560</v>
      </c>
      <c r="AE5" s="16">
        <v>560</v>
      </c>
      <c r="AF5" s="16">
        <v>560</v>
      </c>
      <c r="AG5" s="16">
        <v>560</v>
      </c>
      <c r="AH5" s="51">
        <v>560</v>
      </c>
      <c r="AI5" s="51"/>
      <c r="AJ5" s="25"/>
      <c r="AK5" s="16"/>
      <c r="AL5" s="16"/>
      <c r="AM5" s="17">
        <f>+SUM(B5:AL5)</f>
        <v>14770</v>
      </c>
    </row>
    <row r="6" spans="1:39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92">
        <v>11</v>
      </c>
      <c r="J6" s="192">
        <v>11</v>
      </c>
      <c r="K6" s="192">
        <v>11</v>
      </c>
      <c r="L6" s="192">
        <v>11</v>
      </c>
      <c r="M6" s="192">
        <v>8</v>
      </c>
      <c r="N6" s="192">
        <v>8</v>
      </c>
      <c r="O6" s="193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8">
        <v>8</v>
      </c>
      <c r="X6" s="18">
        <v>8</v>
      </c>
      <c r="Y6" s="18">
        <v>8</v>
      </c>
      <c r="Z6" s="18">
        <v>8</v>
      </c>
      <c r="AA6" s="18">
        <v>8</v>
      </c>
      <c r="AB6" s="18">
        <v>8</v>
      </c>
      <c r="AC6" s="193"/>
      <c r="AD6" s="18">
        <v>8</v>
      </c>
      <c r="AE6" s="18">
        <v>8</v>
      </c>
      <c r="AF6" s="18">
        <v>8</v>
      </c>
      <c r="AG6" s="18">
        <v>8</v>
      </c>
      <c r="AH6" s="18">
        <v>8</v>
      </c>
      <c r="AI6" s="18"/>
      <c r="AJ6" s="25"/>
      <c r="AK6" s="18"/>
      <c r="AL6" s="18"/>
    </row>
    <row r="7" spans="1:39" s="17" customFormat="1" ht="16.5" customHeight="1">
      <c r="A7" s="2" t="s">
        <v>19</v>
      </c>
      <c r="B7" s="41"/>
      <c r="C7" s="41"/>
      <c r="D7" s="41"/>
      <c r="E7" s="41"/>
      <c r="F7" s="41"/>
      <c r="G7" s="41" t="s">
        <v>347</v>
      </c>
      <c r="H7" s="25"/>
      <c r="I7" s="41"/>
      <c r="J7" s="41"/>
      <c r="K7" s="41"/>
      <c r="L7" s="41"/>
      <c r="M7" s="41" t="s">
        <v>347</v>
      </c>
      <c r="N7" s="41" t="s">
        <v>347</v>
      </c>
      <c r="O7" s="25"/>
      <c r="P7" s="41"/>
      <c r="Q7" s="41"/>
      <c r="R7" s="41"/>
      <c r="S7" s="41"/>
      <c r="T7" s="41"/>
      <c r="U7" s="41"/>
      <c r="V7" s="25"/>
      <c r="W7" s="41"/>
      <c r="X7" s="41"/>
      <c r="Y7" s="41"/>
      <c r="Z7" s="41" t="s">
        <v>347</v>
      </c>
      <c r="AA7" s="41"/>
      <c r="AB7" s="41"/>
      <c r="AC7" s="25"/>
      <c r="AD7" s="41"/>
      <c r="AE7" s="41"/>
      <c r="AF7" s="41"/>
      <c r="AG7" s="41"/>
      <c r="AH7" s="41"/>
      <c r="AI7" s="41"/>
      <c r="AJ7" s="25"/>
      <c r="AK7" s="41"/>
      <c r="AL7" s="60"/>
    </row>
    <row r="8" spans="1:39" s="17" customFormat="1" ht="16.5" customHeight="1">
      <c r="A8" s="2" t="s">
        <v>20</v>
      </c>
      <c r="B8" s="20"/>
      <c r="C8" s="20"/>
      <c r="D8" s="20"/>
      <c r="E8" s="20"/>
      <c r="F8" s="20"/>
      <c r="G8" s="82">
        <v>0.9</v>
      </c>
      <c r="H8" s="25"/>
      <c r="I8" s="82"/>
      <c r="J8" s="20"/>
      <c r="K8" s="20"/>
      <c r="L8" s="20"/>
      <c r="M8" s="82">
        <v>0.9</v>
      </c>
      <c r="N8" s="82">
        <v>0.9</v>
      </c>
      <c r="O8" s="25"/>
      <c r="P8" s="82"/>
      <c r="Q8" s="82"/>
      <c r="R8" s="20"/>
      <c r="S8" s="20"/>
      <c r="T8" s="20"/>
      <c r="U8" s="82"/>
      <c r="V8" s="25"/>
      <c r="W8" s="82"/>
      <c r="X8" s="82"/>
      <c r="Y8" s="82"/>
      <c r="Z8" s="82">
        <v>0.9</v>
      </c>
      <c r="AA8" s="82"/>
      <c r="AB8" s="82"/>
      <c r="AC8" s="25"/>
      <c r="AD8" s="20"/>
      <c r="AE8" s="20"/>
      <c r="AF8" s="20"/>
      <c r="AG8" s="82"/>
      <c r="AH8" s="20"/>
      <c r="AI8" s="20"/>
      <c r="AJ8" s="25"/>
      <c r="AK8" s="20"/>
      <c r="AL8" s="60"/>
    </row>
    <row r="9" spans="1:39" s="11" customFormat="1" ht="14.25" customHeight="1">
      <c r="A9" s="229" t="s">
        <v>35</v>
      </c>
      <c r="B9" s="46"/>
      <c r="C9" s="49"/>
      <c r="D9" s="40"/>
      <c r="E9" s="40"/>
      <c r="F9" s="40"/>
      <c r="G9" s="50" t="s">
        <v>602</v>
      </c>
      <c r="H9" s="48"/>
      <c r="J9" s="47"/>
      <c r="K9" s="50"/>
      <c r="L9" s="40"/>
      <c r="M9" s="42" t="s">
        <v>453</v>
      </c>
      <c r="O9" s="48"/>
      <c r="Q9" s="40"/>
      <c r="R9" s="40"/>
      <c r="S9" s="40"/>
      <c r="T9" s="40"/>
      <c r="U9" s="40"/>
      <c r="V9" s="48"/>
      <c r="W9" s="40"/>
      <c r="X9" s="40"/>
      <c r="Z9" s="42" t="s">
        <v>230</v>
      </c>
      <c r="AA9" s="40"/>
      <c r="AB9" s="40"/>
      <c r="AC9" s="48"/>
      <c r="AF9" s="40"/>
      <c r="AG9" s="54"/>
      <c r="AH9" s="40"/>
      <c r="AI9" s="40"/>
      <c r="AJ9" s="48"/>
      <c r="AK9" s="62"/>
      <c r="AL9" s="61"/>
    </row>
    <row r="10" spans="1:39" s="11" customFormat="1" ht="14.25" customHeight="1">
      <c r="A10" s="230"/>
      <c r="B10" s="22"/>
      <c r="C10" s="22"/>
      <c r="D10" s="40"/>
      <c r="E10" s="40"/>
      <c r="F10" s="40"/>
      <c r="G10" s="22" t="s">
        <v>603</v>
      </c>
      <c r="H10" s="48"/>
      <c r="I10" s="40"/>
      <c r="J10" s="21"/>
      <c r="K10" s="22"/>
      <c r="L10" s="40"/>
      <c r="M10" s="22" t="s">
        <v>454</v>
      </c>
      <c r="N10" s="40"/>
      <c r="O10" s="48"/>
      <c r="P10" s="40"/>
      <c r="Q10" s="40"/>
      <c r="R10" s="40"/>
      <c r="S10" s="40"/>
      <c r="T10" s="40"/>
      <c r="U10" s="40"/>
      <c r="V10" s="48"/>
      <c r="W10" s="40"/>
      <c r="X10" s="40"/>
      <c r="Y10" s="40"/>
      <c r="Z10" s="22" t="s">
        <v>275</v>
      </c>
      <c r="AA10" s="40"/>
      <c r="AB10" s="40"/>
      <c r="AC10" s="48"/>
      <c r="AD10" s="40"/>
      <c r="AE10" s="40"/>
      <c r="AF10" s="40"/>
      <c r="AG10" s="182"/>
      <c r="AH10" s="40"/>
      <c r="AI10" s="40"/>
      <c r="AJ10" s="48"/>
      <c r="AK10" s="58"/>
      <c r="AL10" s="61"/>
    </row>
    <row r="11" spans="1:39" s="11" customFormat="1" ht="14.25" customHeight="1">
      <c r="A11" s="230"/>
      <c r="B11" s="22"/>
      <c r="C11" s="22"/>
      <c r="D11" s="40"/>
      <c r="E11" s="40"/>
      <c r="F11" s="40"/>
      <c r="G11" s="22" t="s">
        <v>609</v>
      </c>
      <c r="H11" s="48"/>
      <c r="I11" s="40"/>
      <c r="J11" s="21"/>
      <c r="K11" s="40"/>
      <c r="L11" s="40"/>
      <c r="M11" s="22" t="s">
        <v>455</v>
      </c>
      <c r="N11" s="40"/>
      <c r="O11" s="48"/>
      <c r="P11" s="40"/>
      <c r="Q11" s="40"/>
      <c r="R11" s="40"/>
      <c r="S11" s="40"/>
      <c r="T11" s="40"/>
      <c r="U11" s="40"/>
      <c r="V11" s="48"/>
      <c r="W11" s="40"/>
      <c r="X11" s="40"/>
      <c r="Y11" s="40"/>
      <c r="Z11" s="22" t="s">
        <v>276</v>
      </c>
      <c r="AA11" s="40"/>
      <c r="AB11" s="40"/>
      <c r="AC11" s="48"/>
      <c r="AD11" s="40"/>
      <c r="AE11" s="40"/>
      <c r="AF11" s="40"/>
      <c r="AG11" s="153"/>
      <c r="AH11" s="40"/>
      <c r="AI11" s="40"/>
      <c r="AJ11" s="48"/>
      <c r="AK11" s="58"/>
      <c r="AL11" s="61"/>
    </row>
    <row r="12" spans="1:39" s="11" customFormat="1" ht="14.25" customHeight="1">
      <c r="A12" s="230"/>
      <c r="B12" s="22"/>
      <c r="C12" s="55"/>
      <c r="D12" s="40"/>
      <c r="E12" s="40"/>
      <c r="F12" s="40"/>
      <c r="G12" s="22" t="s">
        <v>604</v>
      </c>
      <c r="H12" s="48"/>
      <c r="I12" s="40"/>
      <c r="J12" s="21"/>
      <c r="K12" s="40"/>
      <c r="L12" s="40"/>
      <c r="M12" s="42" t="s">
        <v>225</v>
      </c>
      <c r="N12" s="40"/>
      <c r="O12" s="48"/>
      <c r="P12" s="40"/>
      <c r="Q12" s="50"/>
      <c r="R12" s="40"/>
      <c r="S12" s="40"/>
      <c r="T12" s="40"/>
      <c r="U12" s="40"/>
      <c r="V12" s="48"/>
      <c r="W12" s="40"/>
      <c r="X12" s="40"/>
      <c r="Y12" s="40"/>
      <c r="Z12" s="22" t="s">
        <v>267</v>
      </c>
      <c r="AA12" s="40"/>
      <c r="AB12" s="40"/>
      <c r="AC12" s="48"/>
      <c r="AD12" s="40"/>
      <c r="AE12" s="40"/>
      <c r="AF12" s="40"/>
      <c r="AG12" s="21"/>
      <c r="AH12" s="40"/>
      <c r="AI12" s="40"/>
      <c r="AJ12" s="48"/>
      <c r="AK12" s="58"/>
      <c r="AL12" s="61"/>
    </row>
    <row r="13" spans="1:39" s="11" customFormat="1" ht="14.25" customHeight="1">
      <c r="A13" s="230"/>
      <c r="B13" s="22"/>
      <c r="C13" s="22"/>
      <c r="D13" s="40"/>
      <c r="E13" s="40"/>
      <c r="F13" s="40"/>
      <c r="G13" s="22" t="s">
        <v>611</v>
      </c>
      <c r="H13" s="48"/>
      <c r="I13" s="40"/>
      <c r="J13" s="21"/>
      <c r="K13" s="40"/>
      <c r="L13" s="40"/>
      <c r="M13" s="22" t="s">
        <v>227</v>
      </c>
      <c r="N13" s="40"/>
      <c r="O13" s="48"/>
      <c r="P13" s="40"/>
      <c r="Q13" s="40"/>
      <c r="R13" s="40"/>
      <c r="S13" s="40"/>
      <c r="T13" s="40"/>
      <c r="U13" s="40"/>
      <c r="V13" s="48"/>
      <c r="W13" s="40"/>
      <c r="X13" s="40"/>
      <c r="Y13" s="40"/>
      <c r="Z13" s="22" t="s">
        <v>268</v>
      </c>
      <c r="AA13" s="40"/>
      <c r="AB13" s="40"/>
      <c r="AC13" s="48"/>
      <c r="AD13" s="40"/>
      <c r="AE13" s="40"/>
      <c r="AF13" s="40"/>
      <c r="AG13" s="40"/>
      <c r="AH13" s="21"/>
      <c r="AI13" s="21"/>
      <c r="AJ13" s="48"/>
      <c r="AK13" s="58"/>
      <c r="AL13" s="61"/>
    </row>
    <row r="14" spans="1:39" s="11" customFormat="1" ht="14.25" customHeight="1">
      <c r="A14" s="230"/>
      <c r="B14" s="22"/>
      <c r="C14" s="22"/>
      <c r="D14" s="40"/>
      <c r="E14" s="40"/>
      <c r="F14" s="40"/>
      <c r="G14" s="22" t="s">
        <v>610</v>
      </c>
      <c r="H14" s="48"/>
      <c r="I14" s="40"/>
      <c r="J14" s="21"/>
      <c r="K14" s="40"/>
      <c r="L14" s="40"/>
      <c r="M14" s="22" t="s">
        <v>226</v>
      </c>
      <c r="N14" s="40"/>
      <c r="O14" s="48"/>
      <c r="P14" s="40"/>
      <c r="Q14" s="40"/>
      <c r="R14" s="40"/>
      <c r="S14" s="40"/>
      <c r="T14" s="40"/>
      <c r="U14" s="40"/>
      <c r="V14" s="48"/>
      <c r="W14" s="40"/>
      <c r="X14" s="40"/>
      <c r="Y14" s="40"/>
      <c r="Z14" s="22" t="s">
        <v>269</v>
      </c>
      <c r="AA14" s="40"/>
      <c r="AB14" s="40"/>
      <c r="AC14" s="48"/>
      <c r="AD14" s="40"/>
      <c r="AE14" s="40"/>
      <c r="AF14" s="40"/>
      <c r="AG14" s="40"/>
      <c r="AH14" s="21"/>
      <c r="AI14" s="21"/>
      <c r="AJ14" s="48"/>
      <c r="AK14" s="58"/>
      <c r="AL14" s="61"/>
    </row>
    <row r="15" spans="1:39" s="11" customFormat="1" ht="14.25" customHeight="1">
      <c r="A15" s="230"/>
      <c r="B15" s="22"/>
      <c r="C15" s="22"/>
      <c r="D15" s="40"/>
      <c r="E15" s="40"/>
      <c r="F15" s="40"/>
      <c r="G15" s="50" t="s">
        <v>605</v>
      </c>
      <c r="H15" s="48"/>
      <c r="I15" s="40"/>
      <c r="J15" s="21"/>
      <c r="K15" s="40"/>
      <c r="L15" s="40"/>
      <c r="M15" s="22" t="s">
        <v>228</v>
      </c>
      <c r="N15" s="40"/>
      <c r="O15" s="48"/>
      <c r="P15" s="40"/>
      <c r="Q15" s="40"/>
      <c r="R15" s="40"/>
      <c r="T15" s="40"/>
      <c r="U15" s="40"/>
      <c r="V15" s="48"/>
      <c r="W15" s="40"/>
      <c r="X15" s="40"/>
      <c r="Y15" s="40"/>
      <c r="Z15" s="22" t="s">
        <v>270</v>
      </c>
      <c r="AA15" s="40"/>
      <c r="AB15" s="40"/>
      <c r="AC15" s="48"/>
      <c r="AD15" s="40"/>
      <c r="AE15" s="40"/>
      <c r="AF15" s="40"/>
      <c r="AG15" s="40"/>
      <c r="AH15" s="21"/>
      <c r="AI15" s="21"/>
      <c r="AJ15" s="48"/>
      <c r="AK15" s="58"/>
      <c r="AL15" s="61"/>
    </row>
    <row r="16" spans="1:39" s="11" customFormat="1" ht="14.25" customHeight="1">
      <c r="A16" s="230"/>
      <c r="B16" s="22"/>
      <c r="C16" s="22"/>
      <c r="D16" s="40"/>
      <c r="E16" s="40"/>
      <c r="F16" s="40"/>
      <c r="G16" s="22" t="s">
        <v>606</v>
      </c>
      <c r="H16" s="48"/>
      <c r="I16" s="40"/>
      <c r="J16" s="21"/>
      <c r="K16" s="40"/>
      <c r="L16" s="40"/>
      <c r="M16" s="22" t="s">
        <v>229</v>
      </c>
      <c r="N16" s="40"/>
      <c r="O16" s="48"/>
      <c r="P16" s="40"/>
      <c r="Q16" s="40"/>
      <c r="R16" s="40"/>
      <c r="S16" s="40"/>
      <c r="T16" s="40"/>
      <c r="U16" s="40"/>
      <c r="V16" s="48"/>
      <c r="W16" s="40"/>
      <c r="X16" s="40"/>
      <c r="Y16" s="40"/>
      <c r="Z16" s="22" t="s">
        <v>271</v>
      </c>
      <c r="AA16" s="40"/>
      <c r="AB16" s="40"/>
      <c r="AC16" s="48"/>
      <c r="AD16" s="40"/>
      <c r="AE16" s="40"/>
      <c r="AF16" s="40"/>
      <c r="AG16" s="40"/>
      <c r="AH16" s="22"/>
      <c r="AI16" s="21"/>
      <c r="AJ16" s="48"/>
      <c r="AK16" s="58"/>
      <c r="AL16" s="61"/>
    </row>
    <row r="17" spans="1:38" s="11" customFormat="1" ht="14.25" customHeight="1">
      <c r="A17" s="230"/>
      <c r="B17" s="22"/>
      <c r="C17" s="22"/>
      <c r="D17" s="40"/>
      <c r="E17" s="40"/>
      <c r="F17" s="40"/>
      <c r="G17" s="22" t="s">
        <v>608</v>
      </c>
      <c r="H17" s="48"/>
      <c r="I17" s="40"/>
      <c r="J17" s="21"/>
      <c r="K17" s="40"/>
      <c r="L17" s="40"/>
      <c r="M17" s="22" t="s">
        <v>926</v>
      </c>
      <c r="N17" s="40"/>
      <c r="O17" s="48"/>
      <c r="P17" s="40"/>
      <c r="Q17" s="40"/>
      <c r="R17" s="40"/>
      <c r="S17" s="40"/>
      <c r="T17" s="40"/>
      <c r="U17" s="40"/>
      <c r="V17" s="48"/>
      <c r="W17" s="40"/>
      <c r="X17" s="40"/>
      <c r="Y17" s="40"/>
      <c r="Z17" s="22" t="s">
        <v>272</v>
      </c>
      <c r="AA17" s="40"/>
      <c r="AB17" s="40"/>
      <c r="AC17" s="48"/>
      <c r="AD17" s="40"/>
      <c r="AE17" s="40"/>
      <c r="AF17" s="40"/>
      <c r="AG17" s="40"/>
      <c r="AH17" s="40"/>
      <c r="AI17" s="21"/>
      <c r="AJ17" s="231">
        <f>+SUM(B32:AL32)</f>
        <v>14541</v>
      </c>
      <c r="AK17" s="232"/>
      <c r="AL17" s="23" t="s">
        <v>1</v>
      </c>
    </row>
    <row r="18" spans="1:38" s="11" customFormat="1" ht="14.25" customHeight="1">
      <c r="A18" s="230"/>
      <c r="B18" s="22"/>
      <c r="C18" s="22"/>
      <c r="D18" s="40"/>
      <c r="E18" s="40"/>
      <c r="F18" s="40"/>
      <c r="G18" s="22" t="s">
        <v>607</v>
      </c>
      <c r="H18" s="48"/>
      <c r="I18" s="40"/>
      <c r="J18" s="21"/>
      <c r="K18" s="40"/>
      <c r="L18" s="40"/>
      <c r="M18" s="22" t="s">
        <v>456</v>
      </c>
      <c r="N18" s="40"/>
      <c r="O18" s="48"/>
      <c r="P18" s="40"/>
      <c r="Q18" s="40"/>
      <c r="R18" s="40"/>
      <c r="S18" s="40"/>
      <c r="T18" s="40"/>
      <c r="U18" s="40"/>
      <c r="V18" s="48"/>
      <c r="W18" s="40"/>
      <c r="X18" s="40"/>
      <c r="Y18" s="40"/>
      <c r="Z18" s="22" t="s">
        <v>273</v>
      </c>
      <c r="AA18" s="40"/>
      <c r="AB18" s="40"/>
      <c r="AC18" s="48"/>
      <c r="AD18" s="40"/>
      <c r="AE18" s="40"/>
      <c r="AF18" s="40"/>
      <c r="AG18" s="21"/>
      <c r="AH18" s="22"/>
      <c r="AI18" s="21"/>
      <c r="AJ18" s="48"/>
      <c r="AK18" s="58"/>
      <c r="AL18" s="61"/>
    </row>
    <row r="19" spans="1:38" s="11" customFormat="1" ht="14.25" customHeight="1">
      <c r="A19" s="230"/>
      <c r="B19" s="91"/>
      <c r="C19" s="22"/>
      <c r="D19" s="40"/>
      <c r="E19" s="40"/>
      <c r="F19" s="40"/>
      <c r="G19" s="50" t="s">
        <v>595</v>
      </c>
      <c r="H19" s="48"/>
      <c r="I19" s="40"/>
      <c r="J19" s="21"/>
      <c r="K19" s="40"/>
      <c r="L19" s="40"/>
      <c r="M19" s="42" t="s">
        <v>471</v>
      </c>
      <c r="N19" s="40"/>
      <c r="O19" s="48"/>
      <c r="P19" s="40"/>
      <c r="Q19" s="50"/>
      <c r="R19" s="40"/>
      <c r="S19" s="40"/>
      <c r="T19" s="40"/>
      <c r="U19" s="40"/>
      <c r="V19" s="48"/>
      <c r="W19" s="40"/>
      <c r="X19" s="40"/>
      <c r="Y19" s="40"/>
      <c r="Z19" s="22" t="s">
        <v>274</v>
      </c>
      <c r="AA19" s="40"/>
      <c r="AB19" s="40"/>
      <c r="AC19" s="48"/>
      <c r="AD19" s="40"/>
      <c r="AE19" s="40"/>
      <c r="AF19" s="40"/>
      <c r="AG19" s="21"/>
      <c r="AH19" s="91"/>
      <c r="AI19" s="21"/>
      <c r="AJ19" s="48"/>
      <c r="AK19" s="156"/>
      <c r="AL19" s="61"/>
    </row>
    <row r="20" spans="1:38" s="11" customFormat="1" ht="14.25" customHeight="1">
      <c r="A20" s="230"/>
      <c r="B20" s="91"/>
      <c r="C20" s="22"/>
      <c r="D20" s="40"/>
      <c r="E20" s="40"/>
      <c r="F20" s="40"/>
      <c r="G20" s="22" t="s">
        <v>596</v>
      </c>
      <c r="H20" s="48"/>
      <c r="I20" s="40"/>
      <c r="J20" s="21"/>
      <c r="K20" s="40"/>
      <c r="L20" s="40"/>
      <c r="M20" s="22" t="s">
        <v>472</v>
      </c>
      <c r="N20" s="40"/>
      <c r="O20" s="48"/>
      <c r="P20" s="40"/>
      <c r="Q20" s="40"/>
      <c r="R20" s="40"/>
      <c r="S20" s="40"/>
      <c r="T20" s="40"/>
      <c r="U20" s="40"/>
      <c r="V20" s="48"/>
      <c r="W20" s="40"/>
      <c r="X20" s="40"/>
      <c r="Y20" s="40"/>
      <c r="Z20" s="42" t="s">
        <v>258</v>
      </c>
      <c r="AA20" s="40"/>
      <c r="AB20" s="40"/>
      <c r="AC20" s="48"/>
      <c r="AD20" s="40"/>
      <c r="AE20" s="40"/>
      <c r="AF20" s="40"/>
      <c r="AG20" s="40"/>
      <c r="AH20" s="91"/>
      <c r="AI20" s="40"/>
      <c r="AJ20" s="48"/>
      <c r="AK20" s="156"/>
      <c r="AL20" s="61"/>
    </row>
    <row r="21" spans="1:38" s="11" customFormat="1" ht="14.25" customHeight="1">
      <c r="A21" s="230"/>
      <c r="B21" s="91"/>
      <c r="C21" s="22"/>
      <c r="D21" s="40"/>
      <c r="E21" s="40"/>
      <c r="F21" s="40"/>
      <c r="G21" s="22" t="s">
        <v>597</v>
      </c>
      <c r="H21" s="48"/>
      <c r="I21" s="40"/>
      <c r="J21" s="21"/>
      <c r="K21" s="22"/>
      <c r="L21" s="40"/>
      <c r="M21" s="70" t="s">
        <v>449</v>
      </c>
      <c r="N21" s="40"/>
      <c r="O21" s="48"/>
      <c r="P21" s="40"/>
      <c r="Q21" s="40"/>
      <c r="R21" s="40"/>
      <c r="S21" s="40"/>
      <c r="T21" s="40"/>
      <c r="U21" s="40"/>
      <c r="V21" s="48"/>
      <c r="W21" s="40"/>
      <c r="X21" s="40"/>
      <c r="Y21" s="40"/>
      <c r="Z21" s="22" t="s">
        <v>475</v>
      </c>
      <c r="AA21" s="40"/>
      <c r="AB21" s="40"/>
      <c r="AC21" s="48"/>
      <c r="AD21" s="40"/>
      <c r="AE21" s="40"/>
      <c r="AF21" s="40"/>
      <c r="AG21" s="40"/>
      <c r="AH21" s="91"/>
      <c r="AI21" s="40"/>
      <c r="AJ21" s="48"/>
      <c r="AK21" s="156"/>
      <c r="AL21" s="61"/>
    </row>
    <row r="22" spans="1:38" s="11" customFormat="1" ht="14.25" customHeight="1">
      <c r="A22" s="230"/>
      <c r="B22" s="91"/>
      <c r="C22" s="22"/>
      <c r="D22" s="40"/>
      <c r="E22" s="40"/>
      <c r="F22" s="40"/>
      <c r="G22" s="22" t="s">
        <v>598</v>
      </c>
      <c r="H22" s="48"/>
      <c r="I22" s="40"/>
      <c r="J22" s="21"/>
      <c r="K22" s="22"/>
      <c r="L22" s="40"/>
      <c r="M22" s="22" t="s">
        <v>450</v>
      </c>
      <c r="N22" s="40"/>
      <c r="O22" s="48"/>
      <c r="P22" s="40"/>
      <c r="Q22" s="40"/>
      <c r="R22" s="70"/>
      <c r="S22" s="40"/>
      <c r="T22" s="40"/>
      <c r="U22" s="40"/>
      <c r="V22" s="48"/>
      <c r="W22" s="40"/>
      <c r="X22" s="40"/>
      <c r="Y22" s="40"/>
      <c r="Z22" s="22" t="s">
        <v>476</v>
      </c>
      <c r="AA22" s="40"/>
      <c r="AB22" s="40"/>
      <c r="AC22" s="48"/>
      <c r="AD22" s="40"/>
      <c r="AE22" s="40"/>
      <c r="AF22" s="40"/>
      <c r="AG22" s="40"/>
      <c r="AH22" s="91"/>
      <c r="AI22" s="40"/>
      <c r="AJ22" s="48"/>
      <c r="AK22" s="156"/>
      <c r="AL22" s="61"/>
    </row>
    <row r="23" spans="1:38" s="11" customFormat="1" ht="14.25" customHeight="1">
      <c r="A23" s="230"/>
      <c r="B23" s="91"/>
      <c r="C23" s="22"/>
      <c r="D23" s="40"/>
      <c r="E23" s="40"/>
      <c r="F23" s="40"/>
      <c r="G23" s="22" t="s">
        <v>599</v>
      </c>
      <c r="H23" s="48"/>
      <c r="I23" s="40"/>
      <c r="J23" s="21"/>
      <c r="K23" s="22"/>
      <c r="L23" s="40"/>
      <c r="M23" s="22" t="s">
        <v>451</v>
      </c>
      <c r="N23" s="40"/>
      <c r="O23" s="48"/>
      <c r="P23" s="40"/>
      <c r="Q23" s="40"/>
      <c r="R23" s="40"/>
      <c r="S23" s="40"/>
      <c r="T23" s="40"/>
      <c r="U23" s="40"/>
      <c r="V23" s="48"/>
      <c r="W23" s="40"/>
      <c r="X23" s="40"/>
      <c r="Y23" s="40"/>
      <c r="Z23" s="22" t="s">
        <v>477</v>
      </c>
      <c r="AA23" s="40"/>
      <c r="AB23" s="40"/>
      <c r="AC23" s="48"/>
      <c r="AD23" s="40"/>
      <c r="AE23" s="40"/>
      <c r="AF23" s="40"/>
      <c r="AG23" s="40"/>
      <c r="AH23" s="91"/>
      <c r="AI23" s="40"/>
      <c r="AJ23" s="48"/>
      <c r="AK23" s="156"/>
      <c r="AL23" s="61"/>
    </row>
    <row r="24" spans="1:38" s="11" customFormat="1" ht="14.25" customHeight="1">
      <c r="A24" s="230"/>
      <c r="B24" s="91"/>
      <c r="C24" s="22"/>
      <c r="D24" s="40"/>
      <c r="E24" s="40"/>
      <c r="F24" s="40"/>
      <c r="G24" s="22" t="s">
        <v>600</v>
      </c>
      <c r="H24" s="48"/>
      <c r="I24" s="40"/>
      <c r="J24" s="40"/>
      <c r="K24" s="22"/>
      <c r="L24" s="40"/>
      <c r="M24" s="22" t="s">
        <v>452</v>
      </c>
      <c r="N24" s="40"/>
      <c r="O24" s="48"/>
      <c r="P24" s="40"/>
      <c r="Q24" s="40"/>
      <c r="R24" s="40"/>
      <c r="S24" s="40"/>
      <c r="T24" s="40"/>
      <c r="U24" s="40"/>
      <c r="V24" s="48"/>
      <c r="W24" s="40"/>
      <c r="X24" s="40"/>
      <c r="Y24" s="40"/>
      <c r="Z24" s="22" t="s">
        <v>478</v>
      </c>
      <c r="AA24" s="40"/>
      <c r="AB24" s="40"/>
      <c r="AC24" s="48"/>
      <c r="AD24" s="40"/>
      <c r="AE24" s="40"/>
      <c r="AF24" s="40"/>
      <c r="AG24" s="40"/>
      <c r="AH24" s="91"/>
      <c r="AI24" s="40"/>
      <c r="AJ24" s="48"/>
      <c r="AK24" s="156"/>
      <c r="AL24" s="61"/>
    </row>
    <row r="25" spans="1:38" s="11" customFormat="1" ht="14.25" customHeight="1">
      <c r="A25" s="230"/>
      <c r="B25" s="91"/>
      <c r="C25" s="22"/>
      <c r="D25" s="40"/>
      <c r="E25" s="40"/>
      <c r="F25" s="40"/>
      <c r="G25" s="22" t="s">
        <v>601</v>
      </c>
      <c r="H25" s="48"/>
      <c r="I25" s="40"/>
      <c r="J25" s="40"/>
      <c r="K25" s="22"/>
      <c r="L25" s="40"/>
      <c r="M25" s="22" t="s">
        <v>457</v>
      </c>
      <c r="N25" s="40"/>
      <c r="O25" s="48"/>
      <c r="P25" s="40"/>
      <c r="Q25" s="40"/>
      <c r="R25" s="40"/>
      <c r="S25" s="40"/>
      <c r="T25" s="40"/>
      <c r="U25" s="40"/>
      <c r="V25" s="48"/>
      <c r="W25" s="40"/>
      <c r="X25" s="40"/>
      <c r="Y25" s="40"/>
      <c r="Z25" s="22" t="s">
        <v>479</v>
      </c>
      <c r="AA25" s="40"/>
      <c r="AB25" s="40"/>
      <c r="AC25" s="48"/>
      <c r="AD25" s="40"/>
      <c r="AE25" s="40"/>
      <c r="AF25" s="40"/>
      <c r="AG25" s="40"/>
      <c r="AH25" s="91"/>
      <c r="AI25" s="40"/>
      <c r="AJ25" s="48"/>
      <c r="AK25" s="156"/>
      <c r="AL25" s="61"/>
    </row>
    <row r="26" spans="1:38" s="11" customFormat="1" ht="14.25" customHeight="1">
      <c r="A26" s="230"/>
      <c r="B26" s="91"/>
      <c r="C26" s="22"/>
      <c r="D26" s="40"/>
      <c r="E26" s="40"/>
      <c r="F26" s="40"/>
      <c r="G26" s="50" t="s">
        <v>612</v>
      </c>
      <c r="H26" s="48"/>
      <c r="I26" s="40"/>
      <c r="J26" s="40"/>
      <c r="K26" s="22"/>
      <c r="L26" s="40"/>
      <c r="M26" s="22" t="s">
        <v>458</v>
      </c>
      <c r="N26" s="40"/>
      <c r="O26" s="48"/>
      <c r="P26" s="40"/>
      <c r="Q26" s="40"/>
      <c r="R26" s="40"/>
      <c r="S26" s="40"/>
      <c r="T26" s="21"/>
      <c r="U26" s="40"/>
      <c r="V26" s="48"/>
      <c r="W26" s="40"/>
      <c r="X26" s="40"/>
      <c r="Y26" s="40"/>
      <c r="Z26" s="105"/>
      <c r="AA26" s="40"/>
      <c r="AB26" s="40"/>
      <c r="AC26" s="48"/>
      <c r="AD26" s="40"/>
      <c r="AE26" s="40"/>
      <c r="AF26" s="40"/>
      <c r="AG26" s="40"/>
      <c r="AH26" s="91"/>
      <c r="AI26" s="40"/>
      <c r="AJ26" s="48"/>
      <c r="AK26" s="156"/>
      <c r="AL26" s="61"/>
    </row>
    <row r="27" spans="1:38" s="11" customFormat="1" ht="14.25" customHeight="1">
      <c r="A27" s="230"/>
      <c r="B27" s="91"/>
      <c r="C27" s="22"/>
      <c r="D27" s="40"/>
      <c r="E27" s="40"/>
      <c r="F27" s="40"/>
      <c r="G27" s="22" t="s">
        <v>613</v>
      </c>
      <c r="H27" s="48"/>
      <c r="I27" s="40"/>
      <c r="J27" s="21"/>
      <c r="K27" s="22"/>
      <c r="L27" s="40"/>
      <c r="M27" s="22" t="s">
        <v>459</v>
      </c>
      <c r="N27" s="40"/>
      <c r="O27" s="48"/>
      <c r="P27" s="40"/>
      <c r="Q27" s="40"/>
      <c r="R27" s="40"/>
      <c r="S27" s="40"/>
      <c r="T27" s="21"/>
      <c r="U27" s="40"/>
      <c r="V27" s="48"/>
      <c r="X27" s="40"/>
      <c r="Y27" s="40"/>
      <c r="Z27" s="40"/>
      <c r="AA27" s="40"/>
      <c r="AB27" s="21"/>
      <c r="AC27" s="48"/>
      <c r="AD27" s="40"/>
      <c r="AE27" s="40"/>
      <c r="AF27" s="40"/>
      <c r="AG27" s="40"/>
      <c r="AH27" s="91"/>
      <c r="AI27" s="40"/>
      <c r="AJ27" s="48"/>
      <c r="AK27" s="156"/>
      <c r="AL27" s="61"/>
    </row>
    <row r="28" spans="1:38" s="11" customFormat="1" ht="14.25" customHeight="1">
      <c r="A28" s="230"/>
      <c r="B28" s="91"/>
      <c r="C28" s="22"/>
      <c r="D28" s="40"/>
      <c r="E28" s="40"/>
      <c r="F28" s="40"/>
      <c r="G28" s="22" t="s">
        <v>614</v>
      </c>
      <c r="H28" s="48"/>
      <c r="I28" s="40"/>
      <c r="J28" s="21"/>
      <c r="K28" s="22"/>
      <c r="L28" s="50"/>
      <c r="M28" s="42" t="s">
        <v>471</v>
      </c>
      <c r="N28" s="40"/>
      <c r="O28" s="48"/>
      <c r="P28" s="40"/>
      <c r="Q28" s="50"/>
      <c r="R28" s="40"/>
      <c r="S28" s="40"/>
      <c r="T28" s="40"/>
      <c r="U28" s="40"/>
      <c r="V28" s="48"/>
      <c r="W28" s="21"/>
      <c r="X28" s="40"/>
      <c r="Y28" s="40"/>
      <c r="Z28" s="40"/>
      <c r="AA28" s="40"/>
      <c r="AB28" s="21"/>
      <c r="AC28" s="48"/>
      <c r="AD28" s="40"/>
      <c r="AE28" s="40"/>
      <c r="AF28" s="40"/>
      <c r="AG28" s="40"/>
      <c r="AH28" s="91"/>
      <c r="AI28" s="40"/>
      <c r="AJ28" s="48"/>
      <c r="AK28" s="156"/>
      <c r="AL28" s="61"/>
    </row>
    <row r="29" spans="1:38" s="11" customFormat="1" ht="14.25" customHeight="1">
      <c r="A29" s="230"/>
      <c r="B29" s="91"/>
      <c r="C29" s="22"/>
      <c r="D29" s="40"/>
      <c r="E29" s="40"/>
      <c r="F29" s="40"/>
      <c r="G29" s="22" t="s">
        <v>615</v>
      </c>
      <c r="H29" s="48"/>
      <c r="I29" s="40"/>
      <c r="J29" s="21"/>
      <c r="K29" s="22"/>
      <c r="L29" s="40"/>
      <c r="M29" s="22" t="s">
        <v>473</v>
      </c>
      <c r="N29" s="40"/>
      <c r="O29" s="48"/>
      <c r="P29" s="40"/>
      <c r="Q29" s="40"/>
      <c r="S29" s="40"/>
      <c r="T29" s="40"/>
      <c r="U29" s="40"/>
      <c r="V29" s="48"/>
      <c r="W29" s="21"/>
      <c r="X29" s="40"/>
      <c r="Y29" s="40"/>
      <c r="Z29" s="40"/>
      <c r="AA29" s="40"/>
      <c r="AB29" s="21"/>
      <c r="AC29" s="48"/>
      <c r="AD29" s="40"/>
      <c r="AE29" s="40"/>
      <c r="AF29" s="40"/>
      <c r="AG29" s="40"/>
      <c r="AH29" s="91"/>
      <c r="AI29" s="40"/>
      <c r="AJ29" s="48"/>
      <c r="AK29" s="156"/>
      <c r="AL29" s="61"/>
    </row>
    <row r="30" spans="1:38" s="11" customFormat="1" ht="14.25" customHeight="1">
      <c r="A30" s="230"/>
      <c r="B30" s="91"/>
      <c r="C30" s="22"/>
      <c r="D30" s="40"/>
      <c r="E30" s="40"/>
      <c r="F30" s="40"/>
      <c r="G30" s="40"/>
      <c r="H30" s="48"/>
      <c r="I30" s="40"/>
      <c r="J30" s="21"/>
      <c r="K30" s="22"/>
      <c r="L30" s="40"/>
      <c r="M30" s="22" t="s">
        <v>474</v>
      </c>
      <c r="N30" s="40"/>
      <c r="O30" s="98"/>
      <c r="P30" s="40"/>
      <c r="Q30" s="40"/>
      <c r="R30" s="40"/>
      <c r="S30" s="40"/>
      <c r="T30" s="40"/>
      <c r="U30" s="40"/>
      <c r="V30" s="48"/>
      <c r="W30" s="21"/>
      <c r="X30" s="40"/>
      <c r="Y30" s="40"/>
      <c r="Z30" s="40"/>
      <c r="AA30" s="40"/>
      <c r="AB30" s="21"/>
      <c r="AC30" s="48"/>
      <c r="AD30" s="40"/>
      <c r="AE30" s="40"/>
      <c r="AF30" s="40"/>
      <c r="AG30" s="40"/>
      <c r="AH30" s="91"/>
      <c r="AI30" s="40"/>
      <c r="AJ30" s="48"/>
      <c r="AK30" s="156"/>
      <c r="AL30" s="61"/>
    </row>
    <row r="31" spans="1:38" s="11" customFormat="1" ht="14.25" customHeight="1">
      <c r="A31" s="230"/>
      <c r="B31" s="91"/>
      <c r="C31" s="22"/>
      <c r="D31" s="40"/>
      <c r="E31" s="40"/>
      <c r="F31" s="22"/>
      <c r="H31" s="48"/>
      <c r="I31" s="40"/>
      <c r="J31" s="21"/>
      <c r="K31" s="22"/>
      <c r="L31" s="40"/>
      <c r="M31" s="22" t="s">
        <v>1248</v>
      </c>
      <c r="N31" s="40"/>
      <c r="O31" s="98"/>
      <c r="P31" s="40"/>
      <c r="Q31" s="40"/>
      <c r="R31" s="40"/>
      <c r="S31" s="40"/>
      <c r="T31" s="40"/>
      <c r="U31" s="40"/>
      <c r="V31" s="48"/>
      <c r="W31" s="21"/>
      <c r="X31" s="40"/>
      <c r="Y31" s="40"/>
      <c r="Z31" s="40"/>
      <c r="AA31" s="40"/>
      <c r="AB31" s="21"/>
      <c r="AC31" s="48"/>
      <c r="AD31" s="40"/>
      <c r="AE31" s="40"/>
      <c r="AF31" s="40"/>
      <c r="AG31" s="40"/>
      <c r="AH31" s="91"/>
      <c r="AI31" s="40"/>
      <c r="AJ31" s="48"/>
      <c r="AK31" s="156"/>
      <c r="AL31" s="61"/>
    </row>
    <row r="32" spans="1:38" s="11" customFormat="1" ht="16.5" customHeight="1">
      <c r="A32" s="230"/>
      <c r="B32" s="24"/>
      <c r="C32" s="56"/>
      <c r="D32" s="24"/>
      <c r="E32" s="56"/>
      <c r="F32" s="24"/>
      <c r="G32" s="233">
        <v>3962</v>
      </c>
      <c r="H32" s="234"/>
      <c r="I32" s="24"/>
      <c r="J32" s="56"/>
      <c r="K32" s="24"/>
      <c r="L32" s="242">
        <f>60+62+127+77+52+179+18+189+1716+179+514+510+87+280+740+1200+768+100</f>
        <v>6858</v>
      </c>
      <c r="M32" s="243"/>
      <c r="N32" s="56"/>
      <c r="O32" s="25"/>
      <c r="P32" s="56"/>
      <c r="Q32" s="24"/>
      <c r="R32" s="24"/>
      <c r="S32" s="24"/>
      <c r="T32" s="56"/>
      <c r="U32" s="56"/>
      <c r="V32" s="25"/>
      <c r="W32" s="56"/>
      <c r="X32" s="24"/>
      <c r="Y32" s="56"/>
      <c r="Z32" s="233">
        <f>191+261+229+232+427+70+338+402+160+208+169+345+430+114+145</f>
        <v>3721</v>
      </c>
      <c r="AA32" s="234"/>
      <c r="AB32" s="56"/>
      <c r="AC32" s="24"/>
      <c r="AD32" s="24"/>
      <c r="AE32" s="233"/>
      <c r="AF32" s="234"/>
      <c r="AG32" s="56"/>
      <c r="AH32" s="242"/>
      <c r="AI32" s="243"/>
      <c r="AJ32" s="24"/>
      <c r="AK32" s="24"/>
      <c r="AL32" s="64"/>
    </row>
    <row r="33" spans="1:39" s="11" customFormat="1" ht="2.25" customHeight="1">
      <c r="A33" s="26"/>
      <c r="B33" s="27"/>
      <c r="C33" s="27"/>
      <c r="D33" s="27"/>
      <c r="E33" s="28"/>
      <c r="F33" s="27"/>
      <c r="G33" s="44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0"/>
    </row>
    <row r="34" spans="1:39" s="11" customFormat="1" ht="19.5" customHeight="1">
      <c r="A34" s="12" t="s">
        <v>0</v>
      </c>
      <c r="B34" s="16"/>
      <c r="C34" s="16"/>
      <c r="D34" s="16"/>
      <c r="E34" s="16"/>
      <c r="F34" s="16"/>
      <c r="G34" s="16">
        <v>560</v>
      </c>
      <c r="H34" s="25"/>
      <c r="I34" s="16">
        <v>560</v>
      </c>
      <c r="J34" s="68">
        <v>690</v>
      </c>
      <c r="K34" s="16">
        <v>770</v>
      </c>
      <c r="L34" s="16">
        <v>770</v>
      </c>
      <c r="M34" s="68">
        <v>690</v>
      </c>
      <c r="N34" s="16">
        <v>560</v>
      </c>
      <c r="O34" s="25"/>
      <c r="P34" s="16">
        <v>560</v>
      </c>
      <c r="Q34" s="16">
        <v>670</v>
      </c>
      <c r="R34" s="16">
        <v>770</v>
      </c>
      <c r="S34" s="16">
        <v>670</v>
      </c>
      <c r="T34" s="51">
        <v>770</v>
      </c>
      <c r="U34" s="16">
        <v>670</v>
      </c>
      <c r="V34" s="25"/>
      <c r="W34" s="68">
        <v>600</v>
      </c>
      <c r="X34" s="16">
        <v>560</v>
      </c>
      <c r="Y34" s="16">
        <v>560</v>
      </c>
      <c r="Z34" s="51">
        <v>560</v>
      </c>
      <c r="AA34" s="16">
        <v>560</v>
      </c>
      <c r="AB34" s="16">
        <v>560</v>
      </c>
      <c r="AC34" s="25"/>
      <c r="AD34" s="16">
        <v>560</v>
      </c>
      <c r="AE34" s="16">
        <v>560</v>
      </c>
      <c r="AF34" s="16">
        <v>560</v>
      </c>
      <c r="AG34" s="51">
        <v>560</v>
      </c>
      <c r="AH34" s="16">
        <v>560</v>
      </c>
      <c r="AI34" s="16">
        <v>560</v>
      </c>
      <c r="AJ34" s="25"/>
      <c r="AK34" s="16"/>
      <c r="AL34" s="16"/>
      <c r="AM34" s="17">
        <f>+SUM(B34:AL34)</f>
        <v>15470</v>
      </c>
    </row>
    <row r="35" spans="1:39" s="17" customFormat="1" ht="19.5" customHeight="1">
      <c r="A35" s="12" t="s">
        <v>18</v>
      </c>
      <c r="B35" s="122">
        <v>11</v>
      </c>
      <c r="C35" s="122">
        <v>11</v>
      </c>
      <c r="D35" s="122">
        <v>11</v>
      </c>
      <c r="E35" s="122">
        <v>11</v>
      </c>
      <c r="F35" s="122">
        <v>8</v>
      </c>
      <c r="G35" s="122">
        <v>8</v>
      </c>
      <c r="H35" s="25"/>
      <c r="I35" s="18">
        <v>11</v>
      </c>
      <c r="J35" s="18">
        <v>11</v>
      </c>
      <c r="K35" s="18">
        <v>11</v>
      </c>
      <c r="L35" s="18">
        <v>11</v>
      </c>
      <c r="M35" s="18">
        <v>8</v>
      </c>
      <c r="N35" s="18">
        <v>8</v>
      </c>
      <c r="O35" s="25"/>
      <c r="P35" s="18">
        <v>9.5</v>
      </c>
      <c r="Q35" s="18">
        <v>11</v>
      </c>
      <c r="R35" s="18">
        <v>9.5</v>
      </c>
      <c r="S35" s="18">
        <v>11</v>
      </c>
      <c r="T35" s="18">
        <v>9.5</v>
      </c>
      <c r="U35" s="18">
        <v>9.5</v>
      </c>
      <c r="V35" s="25"/>
      <c r="W35" s="18">
        <v>8</v>
      </c>
      <c r="X35" s="18">
        <v>8</v>
      </c>
      <c r="Y35" s="18">
        <v>8</v>
      </c>
      <c r="Z35" s="18">
        <v>8</v>
      </c>
      <c r="AA35" s="18">
        <v>8</v>
      </c>
      <c r="AB35" s="18">
        <v>8</v>
      </c>
      <c r="AC35" s="193"/>
      <c r="AD35" s="18">
        <v>8</v>
      </c>
      <c r="AE35" s="18">
        <v>8</v>
      </c>
      <c r="AF35" s="18">
        <v>8</v>
      </c>
      <c r="AG35" s="18">
        <v>8</v>
      </c>
      <c r="AH35" s="18">
        <v>8</v>
      </c>
      <c r="AI35" s="18">
        <v>8</v>
      </c>
      <c r="AJ35" s="25"/>
      <c r="AK35" s="18"/>
      <c r="AL35" s="18"/>
    </row>
    <row r="36" spans="1:39" s="17" customFormat="1" ht="17.25" customHeight="1">
      <c r="A36" s="2" t="s">
        <v>19</v>
      </c>
      <c r="B36" s="41"/>
      <c r="C36" s="41"/>
      <c r="D36" s="41"/>
      <c r="E36" s="41"/>
      <c r="F36" s="41"/>
      <c r="G36" s="41" t="s">
        <v>347</v>
      </c>
      <c r="H36" s="25"/>
      <c r="I36" s="41"/>
      <c r="J36" s="41" t="s">
        <v>347</v>
      </c>
      <c r="K36" s="41"/>
      <c r="L36" s="41"/>
      <c r="M36" s="41" t="s">
        <v>347</v>
      </c>
      <c r="N36" s="41"/>
      <c r="O36" s="25"/>
      <c r="P36" s="41"/>
      <c r="Q36" s="41"/>
      <c r="R36" s="41"/>
      <c r="S36" s="41"/>
      <c r="T36" s="41"/>
      <c r="U36" s="41"/>
      <c r="V36" s="25"/>
      <c r="W36" s="41" t="s">
        <v>347</v>
      </c>
      <c r="X36" s="41"/>
      <c r="Y36" s="41"/>
      <c r="Z36" s="41"/>
      <c r="AA36" s="41"/>
      <c r="AB36" s="41"/>
      <c r="AC36" s="25"/>
      <c r="AD36" s="41"/>
      <c r="AE36" s="41"/>
      <c r="AF36" s="41"/>
      <c r="AG36" s="41"/>
      <c r="AH36" s="41"/>
      <c r="AI36" s="41"/>
      <c r="AJ36" s="25"/>
      <c r="AK36" s="41"/>
      <c r="AL36" s="60"/>
    </row>
    <row r="37" spans="1:39" s="17" customFormat="1" ht="17.25" customHeight="1">
      <c r="A37" s="2" t="s">
        <v>20</v>
      </c>
      <c r="B37" s="20"/>
      <c r="C37" s="20"/>
      <c r="D37" s="20"/>
      <c r="E37" s="20"/>
      <c r="F37" s="20"/>
      <c r="G37" s="20"/>
      <c r="H37" s="25"/>
      <c r="I37" s="20"/>
      <c r="J37" s="20">
        <v>0.9</v>
      </c>
      <c r="K37" s="20"/>
      <c r="L37" s="20"/>
      <c r="M37" s="20">
        <v>0.9</v>
      </c>
      <c r="N37" s="20"/>
      <c r="O37" s="25"/>
      <c r="P37" s="20"/>
      <c r="Q37" s="20"/>
      <c r="R37" s="20"/>
      <c r="S37" s="20"/>
      <c r="T37" s="20"/>
      <c r="U37" s="20"/>
      <c r="V37" s="25"/>
      <c r="W37" s="82">
        <v>0.9</v>
      </c>
      <c r="X37" s="20"/>
      <c r="Y37" s="20"/>
      <c r="Z37" s="20"/>
      <c r="AA37" s="20"/>
      <c r="AB37" s="20"/>
      <c r="AC37" s="25"/>
      <c r="AD37" s="20"/>
      <c r="AE37" s="20"/>
      <c r="AF37" s="20"/>
      <c r="AG37" s="20"/>
      <c r="AH37" s="20"/>
      <c r="AI37" s="20"/>
      <c r="AJ37" s="25"/>
      <c r="AK37" s="20"/>
      <c r="AL37" s="60"/>
    </row>
    <row r="38" spans="1:39" s="11" customFormat="1" ht="16.5" customHeight="1">
      <c r="A38" s="229" t="s">
        <v>36</v>
      </c>
      <c r="B38" s="46"/>
      <c r="C38" s="49"/>
      <c r="D38" s="40"/>
      <c r="E38" s="47"/>
      <c r="F38" s="40"/>
      <c r="G38" s="49" t="s">
        <v>277</v>
      </c>
      <c r="H38" s="48"/>
      <c r="I38" s="40"/>
      <c r="J38" s="40"/>
      <c r="K38" s="50"/>
      <c r="M38" s="49" t="s">
        <v>277</v>
      </c>
      <c r="N38" s="40"/>
      <c r="O38" s="48"/>
      <c r="P38" s="40"/>
      <c r="Q38" s="40"/>
      <c r="R38" s="40"/>
      <c r="S38" s="40"/>
      <c r="U38" s="40"/>
      <c r="V38" s="48"/>
      <c r="W38" s="49" t="s">
        <v>277</v>
      </c>
      <c r="X38" s="40"/>
      <c r="AB38" s="47"/>
      <c r="AC38" s="48"/>
      <c r="AE38" s="55"/>
      <c r="AF38" s="40"/>
      <c r="AG38" s="40"/>
      <c r="AH38" s="46"/>
      <c r="AI38" s="47"/>
      <c r="AJ38" s="48"/>
      <c r="AK38" s="62"/>
      <c r="AL38" s="61"/>
    </row>
    <row r="39" spans="1:39" s="11" customFormat="1" ht="16.5" customHeight="1">
      <c r="A39" s="230"/>
      <c r="B39" s="22"/>
      <c r="C39" s="22"/>
      <c r="D39" s="40"/>
      <c r="E39" s="21"/>
      <c r="F39" s="40"/>
      <c r="G39" s="22" t="s">
        <v>1612</v>
      </c>
      <c r="H39" s="48"/>
      <c r="I39" s="40"/>
      <c r="J39" s="40"/>
      <c r="K39" s="22"/>
      <c r="L39" s="40"/>
      <c r="M39" s="22" t="s">
        <v>278</v>
      </c>
      <c r="N39" s="40"/>
      <c r="O39" s="48"/>
      <c r="P39" s="40"/>
      <c r="Q39" s="40"/>
      <c r="R39" s="40"/>
      <c r="S39" s="40"/>
      <c r="T39" s="40"/>
      <c r="U39" s="40"/>
      <c r="V39" s="48"/>
      <c r="W39" s="171" t="s">
        <v>285</v>
      </c>
      <c r="X39" s="40"/>
      <c r="Y39" s="40"/>
      <c r="Z39" s="40"/>
      <c r="AA39" s="40"/>
      <c r="AB39" s="21"/>
      <c r="AC39" s="48"/>
      <c r="AD39" s="40"/>
      <c r="AE39" s="22"/>
      <c r="AF39" s="40"/>
      <c r="AG39" s="40"/>
      <c r="AH39" s="21"/>
      <c r="AI39" s="21"/>
      <c r="AJ39" s="48"/>
      <c r="AK39" s="58"/>
      <c r="AL39" s="61"/>
    </row>
    <row r="40" spans="1:39" s="11" customFormat="1" ht="16.5" customHeight="1">
      <c r="A40" s="230"/>
      <c r="B40" s="22"/>
      <c r="C40" s="22"/>
      <c r="D40" s="40"/>
      <c r="E40" s="21"/>
      <c r="F40" s="40"/>
      <c r="G40" s="22" t="s">
        <v>1611</v>
      </c>
      <c r="H40" s="48"/>
      <c r="I40" s="40"/>
      <c r="J40" s="40"/>
      <c r="K40" s="22"/>
      <c r="L40" s="40"/>
      <c r="M40" s="22" t="s">
        <v>281</v>
      </c>
      <c r="N40" s="40"/>
      <c r="O40" s="48"/>
      <c r="P40" s="40"/>
      <c r="Q40" s="40"/>
      <c r="R40" s="40"/>
      <c r="S40" s="40"/>
      <c r="T40" s="40"/>
      <c r="U40" s="40"/>
      <c r="V40" s="48"/>
      <c r="W40" s="171" t="s">
        <v>286</v>
      </c>
      <c r="X40" s="40"/>
      <c r="Y40" s="40"/>
      <c r="Z40" s="40"/>
      <c r="AA40" s="40"/>
      <c r="AB40" s="21"/>
      <c r="AC40" s="48"/>
      <c r="AD40" s="40"/>
      <c r="AE40" s="22"/>
      <c r="AF40" s="49"/>
      <c r="AG40" s="40"/>
      <c r="AH40" s="21"/>
      <c r="AI40" s="21"/>
      <c r="AJ40" s="48"/>
      <c r="AK40" s="58"/>
      <c r="AL40" s="61"/>
    </row>
    <row r="41" spans="1:39" s="11" customFormat="1" ht="16.5" customHeight="1">
      <c r="A41" s="230"/>
      <c r="B41" s="22"/>
      <c r="C41" s="55"/>
      <c r="D41" s="40"/>
      <c r="E41" s="21"/>
      <c r="F41" s="40"/>
      <c r="G41" s="49" t="s">
        <v>616</v>
      </c>
      <c r="H41" s="48"/>
      <c r="I41" s="40"/>
      <c r="J41" s="40"/>
      <c r="K41" s="40"/>
      <c r="L41" s="40"/>
      <c r="M41" s="22" t="s">
        <v>282</v>
      </c>
      <c r="N41" s="40"/>
      <c r="O41" s="48"/>
      <c r="P41" s="40"/>
      <c r="Q41" s="40"/>
      <c r="R41" s="40"/>
      <c r="S41" s="40"/>
      <c r="T41" s="40"/>
      <c r="U41" s="40"/>
      <c r="V41" s="48"/>
      <c r="W41" s="171" t="s">
        <v>283</v>
      </c>
      <c r="X41" s="40"/>
      <c r="Y41" s="40"/>
      <c r="Z41" s="40"/>
      <c r="AA41" s="40"/>
      <c r="AB41" s="40"/>
      <c r="AC41" s="48"/>
      <c r="AD41" s="40"/>
      <c r="AE41" s="22"/>
      <c r="AF41" s="40"/>
      <c r="AG41" s="40"/>
      <c r="AH41" s="21"/>
      <c r="AI41" s="21"/>
      <c r="AJ41" s="48"/>
      <c r="AK41" s="58"/>
      <c r="AL41" s="61"/>
    </row>
    <row r="42" spans="1:39" s="11" customFormat="1" ht="16.5" customHeight="1">
      <c r="A42" s="230"/>
      <c r="B42" s="22"/>
      <c r="C42" s="22"/>
      <c r="D42" s="40"/>
      <c r="E42" s="21"/>
      <c r="F42" s="40"/>
      <c r="G42" s="171" t="s">
        <v>1610</v>
      </c>
      <c r="H42" s="48"/>
      <c r="I42" s="40"/>
      <c r="J42" s="40"/>
      <c r="K42" s="40"/>
      <c r="L42" s="40"/>
      <c r="M42" s="22" t="s">
        <v>279</v>
      </c>
      <c r="N42" s="40"/>
      <c r="O42" s="48"/>
      <c r="P42" s="40"/>
      <c r="Q42" s="40"/>
      <c r="R42" s="40"/>
      <c r="S42" s="40"/>
      <c r="T42" s="40"/>
      <c r="U42" s="40"/>
      <c r="V42" s="48"/>
      <c r="W42" s="171" t="s">
        <v>284</v>
      </c>
      <c r="X42" s="40"/>
      <c r="Y42" s="40"/>
      <c r="Z42" s="40"/>
      <c r="AA42" s="40"/>
      <c r="AB42" s="40"/>
      <c r="AC42" s="48"/>
      <c r="AD42" s="40"/>
      <c r="AE42" s="22"/>
      <c r="AF42" s="40"/>
      <c r="AG42" s="40"/>
      <c r="AH42" s="21"/>
      <c r="AI42" s="21"/>
      <c r="AJ42" s="48"/>
      <c r="AK42" s="58"/>
      <c r="AL42" s="61"/>
    </row>
    <row r="43" spans="1:39" s="11" customFormat="1" ht="16.5" customHeight="1">
      <c r="A43" s="230"/>
      <c r="B43" s="22"/>
      <c r="C43" s="22"/>
      <c r="D43" s="40"/>
      <c r="E43" s="21"/>
      <c r="F43" s="40"/>
      <c r="G43" s="195" t="s">
        <v>1365</v>
      </c>
      <c r="H43" s="48"/>
      <c r="I43" s="40"/>
      <c r="J43" s="40"/>
      <c r="K43" s="53"/>
      <c r="L43" s="40"/>
      <c r="M43" s="22" t="s">
        <v>280</v>
      </c>
      <c r="N43" s="40"/>
      <c r="O43" s="48"/>
      <c r="P43" s="40"/>
      <c r="Q43" s="40"/>
      <c r="R43" s="40"/>
      <c r="S43" s="40"/>
      <c r="T43" s="40"/>
      <c r="U43" s="40"/>
      <c r="V43" s="48"/>
      <c r="W43" s="22" t="s">
        <v>292</v>
      </c>
      <c r="X43" s="40"/>
      <c r="Y43" s="40"/>
      <c r="Z43" s="40"/>
      <c r="AA43" s="40"/>
      <c r="AB43" s="40"/>
      <c r="AC43" s="48"/>
      <c r="AD43" s="40"/>
      <c r="AE43" s="22"/>
      <c r="AF43" s="40"/>
      <c r="AG43" s="40"/>
      <c r="AH43" s="21"/>
      <c r="AI43" s="21"/>
      <c r="AJ43" s="48"/>
      <c r="AK43" s="58"/>
      <c r="AL43" s="61"/>
    </row>
    <row r="44" spans="1:39" s="11" customFormat="1" ht="16.5" customHeight="1">
      <c r="A44" s="230"/>
      <c r="B44" s="22"/>
      <c r="C44" s="22"/>
      <c r="D44" s="40"/>
      <c r="E44" s="21"/>
      <c r="F44" s="40"/>
      <c r="G44" s="40"/>
      <c r="H44" s="48"/>
      <c r="I44" s="40"/>
      <c r="J44" s="40"/>
      <c r="K44" s="53"/>
      <c r="L44" s="40"/>
      <c r="M44" s="50" t="s">
        <v>400</v>
      </c>
      <c r="N44" s="40"/>
      <c r="O44" s="48"/>
      <c r="P44" s="40"/>
      <c r="Q44" s="40"/>
      <c r="R44" s="40"/>
      <c r="S44" s="40"/>
      <c r="T44" s="40"/>
      <c r="U44" s="40"/>
      <c r="V44" s="48"/>
      <c r="W44" s="22" t="s">
        <v>293</v>
      </c>
      <c r="X44" s="40"/>
      <c r="Y44" s="40"/>
      <c r="Z44" s="40"/>
      <c r="AA44" s="40"/>
      <c r="AB44" s="50"/>
      <c r="AC44" s="48"/>
      <c r="AD44" s="40"/>
      <c r="AE44" s="40"/>
      <c r="AF44" s="40"/>
      <c r="AG44" s="40"/>
      <c r="AH44" s="21"/>
      <c r="AI44" s="21"/>
      <c r="AJ44" s="48"/>
      <c r="AK44" s="58"/>
      <c r="AL44" s="61"/>
    </row>
    <row r="45" spans="1:39" s="11" customFormat="1" ht="16.5" customHeight="1">
      <c r="A45" s="230"/>
      <c r="B45" s="22"/>
      <c r="C45" s="22"/>
      <c r="D45" s="40"/>
      <c r="E45" s="40"/>
      <c r="F45" s="40"/>
      <c r="G45" s="40"/>
      <c r="H45" s="48"/>
      <c r="I45" s="40"/>
      <c r="J45" s="40"/>
      <c r="K45" s="22"/>
      <c r="L45" s="40"/>
      <c r="M45" s="53" t="s">
        <v>418</v>
      </c>
      <c r="N45" s="40"/>
      <c r="O45" s="48"/>
      <c r="P45" s="40"/>
      <c r="Q45" s="40"/>
      <c r="R45" s="40"/>
      <c r="S45" s="40"/>
      <c r="T45" s="40"/>
      <c r="U45" s="40"/>
      <c r="V45" s="48"/>
      <c r="W45" s="22" t="s">
        <v>289</v>
      </c>
      <c r="X45" s="40"/>
      <c r="Y45" s="40"/>
      <c r="Z45" s="40"/>
      <c r="AA45" s="40"/>
      <c r="AB45" s="40"/>
      <c r="AC45" s="48"/>
      <c r="AD45" s="40"/>
      <c r="AE45" s="40"/>
      <c r="AF45" s="40"/>
      <c r="AG45" s="40"/>
      <c r="AH45" s="22"/>
      <c r="AI45" s="21"/>
      <c r="AJ45" s="48"/>
      <c r="AK45" s="58"/>
      <c r="AL45" s="61"/>
    </row>
    <row r="46" spans="1:39" s="11" customFormat="1" ht="16.5" customHeight="1">
      <c r="A46" s="230"/>
      <c r="B46" s="22"/>
      <c r="C46" s="22"/>
      <c r="D46" s="40"/>
      <c r="E46" s="40"/>
      <c r="F46" s="40"/>
      <c r="G46" s="40"/>
      <c r="H46" s="48"/>
      <c r="I46" s="40"/>
      <c r="J46" s="40"/>
      <c r="K46" s="53"/>
      <c r="L46" s="40"/>
      <c r="M46" s="53" t="s">
        <v>419</v>
      </c>
      <c r="N46" s="40"/>
      <c r="O46" s="48"/>
      <c r="P46" s="40"/>
      <c r="Q46" s="40"/>
      <c r="R46" s="40"/>
      <c r="S46" s="40"/>
      <c r="T46" s="40"/>
      <c r="U46" s="40"/>
      <c r="V46" s="48"/>
      <c r="W46" s="22" t="s">
        <v>290</v>
      </c>
      <c r="X46" s="40"/>
      <c r="Y46" s="40"/>
      <c r="Z46" s="40"/>
      <c r="AA46" s="40"/>
      <c r="AB46" s="40"/>
      <c r="AC46" s="48"/>
      <c r="AD46" s="40"/>
      <c r="AE46" s="40"/>
      <c r="AF46" s="40"/>
      <c r="AG46" s="40"/>
      <c r="AH46" s="40"/>
      <c r="AI46" s="21"/>
      <c r="AJ46" s="231">
        <f>+SUM(B57:AL57)</f>
        <v>15147</v>
      </c>
      <c r="AK46" s="232"/>
      <c r="AL46" s="23" t="s">
        <v>1</v>
      </c>
    </row>
    <row r="47" spans="1:39" s="11" customFormat="1" ht="16.5" customHeight="1">
      <c r="A47" s="230"/>
      <c r="B47" s="22"/>
      <c r="C47" s="22"/>
      <c r="D47" s="40"/>
      <c r="E47" s="21"/>
      <c r="F47" s="40"/>
      <c r="G47" s="40"/>
      <c r="H47" s="48"/>
      <c r="I47" s="40"/>
      <c r="J47" s="40"/>
      <c r="K47" s="53"/>
      <c r="L47" s="40"/>
      <c r="M47" s="53" t="s">
        <v>420</v>
      </c>
      <c r="N47" s="40"/>
      <c r="O47" s="48"/>
      <c r="P47" s="40"/>
      <c r="Q47" s="40"/>
      <c r="R47" s="40"/>
      <c r="S47" s="40"/>
      <c r="T47" s="40"/>
      <c r="U47" s="40"/>
      <c r="V47" s="48"/>
      <c r="W47" s="22" t="s">
        <v>1028</v>
      </c>
      <c r="X47" s="40"/>
      <c r="Y47" s="40"/>
      <c r="Z47" s="40"/>
      <c r="AA47" s="40"/>
      <c r="AB47" s="40"/>
      <c r="AC47" s="48"/>
      <c r="AD47" s="40"/>
      <c r="AE47" s="40"/>
      <c r="AF47" s="40"/>
      <c r="AG47" s="40"/>
      <c r="AH47" s="22"/>
      <c r="AI47" s="21"/>
      <c r="AJ47" s="48"/>
      <c r="AK47" s="58"/>
      <c r="AL47" s="61"/>
    </row>
    <row r="48" spans="1:39" s="11" customFormat="1" ht="16.5" customHeight="1">
      <c r="A48" s="230"/>
      <c r="B48" s="91"/>
      <c r="C48" s="22"/>
      <c r="D48" s="40"/>
      <c r="E48" s="21"/>
      <c r="F48" s="40"/>
      <c r="G48" s="40"/>
      <c r="H48" s="48"/>
      <c r="I48" s="40"/>
      <c r="J48" s="40"/>
      <c r="K48" s="40"/>
      <c r="L48" s="40"/>
      <c r="M48" s="53" t="s">
        <v>421</v>
      </c>
      <c r="N48" s="40"/>
      <c r="O48" s="48"/>
      <c r="P48" s="40"/>
      <c r="Q48" s="40"/>
      <c r="R48" s="40"/>
      <c r="S48" s="40"/>
      <c r="T48" s="40"/>
      <c r="U48" s="40"/>
      <c r="V48" s="48"/>
      <c r="W48" s="22" t="s">
        <v>287</v>
      </c>
      <c r="X48" s="40"/>
      <c r="Y48" s="40"/>
      <c r="Z48" s="40"/>
      <c r="AA48" s="40"/>
      <c r="AB48" s="40"/>
      <c r="AC48" s="48"/>
      <c r="AD48" s="40"/>
      <c r="AE48" s="40"/>
      <c r="AF48" s="40"/>
      <c r="AG48" s="40"/>
      <c r="AH48" s="91"/>
      <c r="AI48" s="21"/>
      <c r="AJ48" s="48"/>
      <c r="AK48" s="156"/>
      <c r="AL48" s="61"/>
    </row>
    <row r="49" spans="1:39" s="11" customFormat="1" ht="16.5" customHeight="1">
      <c r="A49" s="230"/>
      <c r="B49" s="91"/>
      <c r="C49" s="22"/>
      <c r="D49" s="40"/>
      <c r="E49" s="21"/>
      <c r="F49" s="40"/>
      <c r="G49" s="40"/>
      <c r="H49" s="131"/>
      <c r="I49" s="132"/>
      <c r="J49" s="132"/>
      <c r="K49" s="40"/>
      <c r="L49" s="40"/>
      <c r="M49" s="53" t="s">
        <v>1320</v>
      </c>
      <c r="N49" s="40"/>
      <c r="O49" s="48"/>
      <c r="P49" s="40"/>
      <c r="Q49" s="40"/>
      <c r="R49" s="40"/>
      <c r="S49" s="40"/>
      <c r="T49" s="40"/>
      <c r="U49" s="40"/>
      <c r="V49" s="48"/>
      <c r="W49" s="22" t="s">
        <v>288</v>
      </c>
      <c r="X49" s="40"/>
      <c r="Y49" s="40"/>
      <c r="Z49" s="40"/>
      <c r="AA49" s="40"/>
      <c r="AB49" s="21"/>
      <c r="AC49" s="48"/>
      <c r="AD49" s="40"/>
      <c r="AE49" s="40"/>
      <c r="AF49" s="40"/>
      <c r="AG49" s="40"/>
      <c r="AH49" s="91"/>
      <c r="AI49" s="40"/>
      <c r="AJ49" s="48"/>
      <c r="AK49" s="156"/>
      <c r="AL49" s="61"/>
    </row>
    <row r="50" spans="1:39" s="11" customFormat="1" ht="16.5" customHeight="1">
      <c r="A50" s="230"/>
      <c r="B50" s="91"/>
      <c r="C50" s="40"/>
      <c r="D50" s="40"/>
      <c r="E50" s="21"/>
      <c r="F50" s="40"/>
      <c r="G50" s="40"/>
      <c r="H50" s="131"/>
      <c r="I50" s="132"/>
      <c r="J50" s="132"/>
      <c r="K50" s="40"/>
      <c r="L50" s="40"/>
      <c r="M50" s="53" t="s">
        <v>1321</v>
      </c>
      <c r="N50" s="40"/>
      <c r="O50" s="48"/>
      <c r="P50" s="40"/>
      <c r="Q50" s="40"/>
      <c r="R50" s="40"/>
      <c r="S50" s="40"/>
      <c r="T50" s="40"/>
      <c r="U50" s="40"/>
      <c r="V50" s="48"/>
      <c r="W50" s="22" t="s">
        <v>1027</v>
      </c>
      <c r="X50" s="40"/>
      <c r="Y50" s="40"/>
      <c r="Z50" s="40"/>
      <c r="AA50" s="40"/>
      <c r="AB50" s="21"/>
      <c r="AC50" s="48"/>
      <c r="AD50" s="40"/>
      <c r="AE50" s="40"/>
      <c r="AF50" s="40"/>
      <c r="AG50" s="40"/>
      <c r="AH50" s="91"/>
      <c r="AI50" s="40"/>
      <c r="AJ50" s="48"/>
      <c r="AK50" s="156"/>
      <c r="AL50" s="61"/>
    </row>
    <row r="51" spans="1:39" s="11" customFormat="1" ht="16.5" customHeight="1">
      <c r="A51" s="230"/>
      <c r="B51" s="91"/>
      <c r="C51" s="40"/>
      <c r="D51" s="40"/>
      <c r="E51" s="21"/>
      <c r="F51" s="40"/>
      <c r="G51" s="40"/>
      <c r="H51" s="131"/>
      <c r="I51" s="132"/>
      <c r="J51" s="132"/>
      <c r="K51" s="40"/>
      <c r="L51" s="40"/>
      <c r="M51" s="53" t="s">
        <v>415</v>
      </c>
      <c r="N51" s="40"/>
      <c r="O51" s="48"/>
      <c r="P51" s="40"/>
      <c r="Q51" s="40"/>
      <c r="R51" s="40"/>
      <c r="S51" s="40"/>
      <c r="T51" s="40"/>
      <c r="U51" s="40"/>
      <c r="V51" s="48"/>
      <c r="W51" s="22" t="s">
        <v>1025</v>
      </c>
      <c r="X51" s="40"/>
      <c r="Y51" s="40"/>
      <c r="Z51" s="40"/>
      <c r="AA51" s="40"/>
      <c r="AB51" s="21"/>
      <c r="AC51" s="48"/>
      <c r="AD51" s="40"/>
      <c r="AE51" s="40"/>
      <c r="AF51" s="40"/>
      <c r="AG51" s="40"/>
      <c r="AH51" s="91"/>
      <c r="AI51" s="40"/>
      <c r="AJ51" s="48"/>
      <c r="AK51" s="156"/>
      <c r="AL51" s="61"/>
    </row>
    <row r="52" spans="1:39" s="11" customFormat="1" ht="16.5" customHeight="1">
      <c r="A52" s="230"/>
      <c r="B52" s="91"/>
      <c r="C52" s="40"/>
      <c r="D52" s="40"/>
      <c r="E52" s="21"/>
      <c r="F52" s="40"/>
      <c r="G52" s="40"/>
      <c r="H52" s="48"/>
      <c r="I52" s="40"/>
      <c r="J52" s="40"/>
      <c r="K52" s="40"/>
      <c r="L52" s="40"/>
      <c r="M52" s="53" t="s">
        <v>416</v>
      </c>
      <c r="N52" s="40"/>
      <c r="O52" s="48"/>
      <c r="P52" s="40"/>
      <c r="Q52" s="40"/>
      <c r="R52" s="22"/>
      <c r="S52" s="40"/>
      <c r="T52" s="40"/>
      <c r="U52" s="40"/>
      <c r="V52" s="48"/>
      <c r="W52" s="22" t="s">
        <v>1026</v>
      </c>
      <c r="X52" s="40"/>
      <c r="Y52" s="40"/>
      <c r="Z52" s="40"/>
      <c r="AA52" s="40"/>
      <c r="AB52" s="21"/>
      <c r="AC52" s="48"/>
      <c r="AD52" s="40"/>
      <c r="AE52" s="40"/>
      <c r="AF52" s="40"/>
      <c r="AG52" s="40"/>
      <c r="AH52" s="91"/>
      <c r="AI52" s="40"/>
      <c r="AJ52" s="48"/>
      <c r="AK52" s="156"/>
      <c r="AL52" s="61"/>
    </row>
    <row r="53" spans="1:39" s="11" customFormat="1" ht="16.5" customHeight="1">
      <c r="A53" s="230"/>
      <c r="B53" s="91"/>
      <c r="C53" s="40"/>
      <c r="D53" s="40"/>
      <c r="E53" s="21"/>
      <c r="F53" s="40"/>
      <c r="G53" s="40"/>
      <c r="H53" s="48"/>
      <c r="I53" s="40"/>
      <c r="J53" s="40"/>
      <c r="K53" s="40"/>
      <c r="L53" s="40"/>
      <c r="M53" s="53" t="s">
        <v>417</v>
      </c>
      <c r="N53" s="40"/>
      <c r="O53" s="48"/>
      <c r="P53" s="40"/>
      <c r="Q53" s="40"/>
      <c r="R53" s="22"/>
      <c r="S53" s="40"/>
      <c r="T53" s="40"/>
      <c r="U53" s="40"/>
      <c r="V53" s="48"/>
      <c r="W53" s="22" t="s">
        <v>291</v>
      </c>
      <c r="X53" s="100"/>
      <c r="Y53" s="40"/>
      <c r="Z53" s="40"/>
      <c r="AA53" s="40"/>
      <c r="AB53" s="21"/>
      <c r="AC53" s="48"/>
      <c r="AD53" s="40"/>
      <c r="AE53" s="40"/>
      <c r="AF53" s="40"/>
      <c r="AG53" s="40"/>
      <c r="AH53" s="91"/>
      <c r="AI53" s="40"/>
      <c r="AJ53" s="48"/>
      <c r="AK53" s="156"/>
      <c r="AL53" s="61"/>
    </row>
    <row r="54" spans="1:39" s="11" customFormat="1" ht="16.5" customHeight="1">
      <c r="A54" s="230"/>
      <c r="B54" s="91"/>
      <c r="C54" s="22"/>
      <c r="D54" s="40"/>
      <c r="E54" s="21"/>
      <c r="F54" s="40"/>
      <c r="G54" s="40"/>
      <c r="H54" s="48"/>
      <c r="I54" s="40"/>
      <c r="J54" s="40"/>
      <c r="K54" s="40"/>
      <c r="L54" s="40"/>
      <c r="M54" s="58" t="s">
        <v>432</v>
      </c>
      <c r="N54" s="40"/>
      <c r="O54" s="48"/>
      <c r="P54" s="40"/>
      <c r="Q54" s="40"/>
      <c r="R54" s="22"/>
      <c r="S54" s="40"/>
      <c r="T54" s="40"/>
      <c r="U54" s="40"/>
      <c r="V54" s="48"/>
      <c r="W54" s="22" t="s">
        <v>1029</v>
      </c>
      <c r="X54" s="100"/>
      <c r="Y54" s="40"/>
      <c r="Z54" s="40"/>
      <c r="AA54" s="40"/>
      <c r="AB54" s="21"/>
      <c r="AC54" s="48"/>
      <c r="AD54" s="40"/>
      <c r="AE54" s="22"/>
      <c r="AF54" s="40"/>
      <c r="AG54" s="40"/>
      <c r="AH54" s="91"/>
      <c r="AI54" s="40"/>
      <c r="AJ54" s="48"/>
      <c r="AK54" s="156"/>
      <c r="AL54" s="61"/>
    </row>
    <row r="55" spans="1:39" s="11" customFormat="1" ht="16.5" customHeight="1">
      <c r="A55" s="230"/>
      <c r="B55" s="91"/>
      <c r="C55" s="22"/>
      <c r="D55" s="40"/>
      <c r="E55" s="21"/>
      <c r="F55" s="40"/>
      <c r="G55" s="40"/>
      <c r="H55" s="48"/>
      <c r="I55" s="40"/>
      <c r="J55" s="40"/>
      <c r="K55" s="40"/>
      <c r="L55" s="40"/>
      <c r="M55" s="58" t="s">
        <v>433</v>
      </c>
      <c r="N55" s="40"/>
      <c r="O55" s="48"/>
      <c r="P55" s="40"/>
      <c r="Q55" s="40"/>
      <c r="R55" s="22"/>
      <c r="S55" s="40"/>
      <c r="T55" s="40"/>
      <c r="U55" s="40"/>
      <c r="V55" s="48"/>
      <c r="W55" s="22" t="s">
        <v>1111</v>
      </c>
      <c r="X55" s="100"/>
      <c r="Y55" s="40"/>
      <c r="Z55" s="40"/>
      <c r="AA55" s="40"/>
      <c r="AB55" s="21"/>
      <c r="AC55" s="48"/>
      <c r="AD55" s="40"/>
      <c r="AE55" s="22"/>
      <c r="AF55" s="40"/>
      <c r="AG55" s="40"/>
      <c r="AH55" s="91"/>
      <c r="AI55" s="40"/>
      <c r="AJ55" s="48"/>
      <c r="AK55" s="156"/>
      <c r="AL55" s="61"/>
    </row>
    <row r="56" spans="1:39" s="11" customFormat="1" ht="16.5" customHeight="1">
      <c r="A56" s="230"/>
      <c r="B56" s="91"/>
      <c r="C56" s="22"/>
      <c r="D56" s="40"/>
      <c r="E56" s="21"/>
      <c r="F56" s="40"/>
      <c r="G56" s="40"/>
      <c r="H56" s="48"/>
      <c r="I56" s="40"/>
      <c r="J56" s="40"/>
      <c r="K56" s="40"/>
      <c r="N56" s="40"/>
      <c r="O56" s="48"/>
      <c r="P56" s="40"/>
      <c r="Q56" s="40"/>
      <c r="R56" s="22"/>
      <c r="S56" s="40"/>
      <c r="U56" s="40"/>
      <c r="V56" s="48"/>
      <c r="W56" s="22" t="s">
        <v>1112</v>
      </c>
      <c r="X56" s="100"/>
      <c r="Y56" s="40"/>
      <c r="Z56" s="40"/>
      <c r="AA56" s="40"/>
      <c r="AB56" s="21"/>
      <c r="AC56" s="48"/>
      <c r="AD56" s="40"/>
      <c r="AE56" s="40"/>
      <c r="AF56" s="40"/>
      <c r="AG56" s="40"/>
      <c r="AH56" s="91"/>
      <c r="AI56" s="40"/>
      <c r="AJ56" s="48"/>
      <c r="AK56" s="156"/>
      <c r="AL56" s="61"/>
    </row>
    <row r="57" spans="1:39" s="11" customFormat="1" ht="16.5" customHeight="1">
      <c r="A57" s="230"/>
      <c r="B57" s="24"/>
      <c r="C57" s="56"/>
      <c r="D57" s="24"/>
      <c r="E57" s="56"/>
      <c r="F57" s="24"/>
      <c r="G57" s="24">
        <f>317+904+2251</f>
        <v>3472</v>
      </c>
      <c r="H57" s="56"/>
      <c r="I57" s="56"/>
      <c r="J57" s="24"/>
      <c r="K57" s="56"/>
      <c r="L57" s="242">
        <f>300+166+9+300+300+255+107+295+174+305+9+2+651+661+327+1036+440+373</f>
        <v>5710</v>
      </c>
      <c r="M57" s="243"/>
      <c r="N57" s="56"/>
      <c r="O57" s="24"/>
      <c r="P57" s="24"/>
      <c r="Q57" s="24"/>
      <c r="R57" s="24"/>
      <c r="S57" s="24"/>
      <c r="T57" s="24"/>
      <c r="U57" s="24"/>
      <c r="V57" s="56"/>
      <c r="W57" s="233">
        <f>386+139+878+300+117+1+297+670+300+297+700+300+310+100+1+342+330+497</f>
        <v>5965</v>
      </c>
      <c r="X57" s="234"/>
      <c r="Y57" s="24"/>
      <c r="Z57" s="24"/>
      <c r="AA57" s="56"/>
      <c r="AB57" s="24"/>
      <c r="AC57" s="25"/>
      <c r="AD57" s="24"/>
      <c r="AE57" s="24"/>
      <c r="AF57" s="24"/>
      <c r="AG57" s="24"/>
      <c r="AH57" s="56"/>
      <c r="AI57" s="56"/>
      <c r="AJ57" s="24"/>
      <c r="AK57" s="24"/>
      <c r="AL57" s="64"/>
    </row>
    <row r="58" spans="1:39" s="11" customFormat="1" ht="2.25" customHeight="1">
      <c r="A58" s="26"/>
      <c r="B58" s="27"/>
      <c r="C58" s="27"/>
      <c r="D58" s="27"/>
      <c r="E58" s="28"/>
      <c r="F58" s="27"/>
      <c r="G58" s="44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30"/>
    </row>
    <row r="59" spans="1:39" s="11" customFormat="1" ht="19.5" customHeight="1">
      <c r="A59" s="12" t="s">
        <v>0</v>
      </c>
      <c r="B59" s="16"/>
      <c r="C59" s="16"/>
      <c r="D59" s="16"/>
      <c r="E59" s="16"/>
      <c r="F59" s="16"/>
      <c r="G59" s="68">
        <v>540</v>
      </c>
      <c r="H59" s="25"/>
      <c r="I59" s="16">
        <v>600</v>
      </c>
      <c r="J59" s="16">
        <v>830</v>
      </c>
      <c r="K59" s="16">
        <v>830</v>
      </c>
      <c r="L59" s="16">
        <v>830</v>
      </c>
      <c r="M59" s="16">
        <v>830</v>
      </c>
      <c r="N59" s="16">
        <v>600</v>
      </c>
      <c r="O59" s="25"/>
      <c r="P59" s="16">
        <v>600</v>
      </c>
      <c r="Q59" s="68">
        <v>500</v>
      </c>
      <c r="R59" s="16">
        <v>670</v>
      </c>
      <c r="S59" s="51">
        <v>670</v>
      </c>
      <c r="T59" s="16">
        <v>670</v>
      </c>
      <c r="U59" s="16">
        <v>670</v>
      </c>
      <c r="V59" s="25"/>
      <c r="W59" s="16">
        <v>670</v>
      </c>
      <c r="X59" s="16">
        <v>560</v>
      </c>
      <c r="Y59" s="16">
        <v>560</v>
      </c>
      <c r="Z59" s="16">
        <v>560</v>
      </c>
      <c r="AA59" s="16">
        <v>560</v>
      </c>
      <c r="AB59" s="16">
        <v>560</v>
      </c>
      <c r="AC59" s="25"/>
      <c r="AD59" s="16">
        <v>560</v>
      </c>
      <c r="AE59" s="16">
        <v>560</v>
      </c>
      <c r="AF59" s="16">
        <v>560</v>
      </c>
      <c r="AG59" s="16">
        <v>560</v>
      </c>
      <c r="AH59" s="51">
        <v>560</v>
      </c>
      <c r="AI59" s="16">
        <v>560</v>
      </c>
      <c r="AJ59" s="25"/>
      <c r="AK59" s="16">
        <v>560</v>
      </c>
      <c r="AL59" s="16">
        <v>560</v>
      </c>
      <c r="AM59" s="17">
        <f>+SUM(B59:AL59)</f>
        <v>16790</v>
      </c>
    </row>
    <row r="60" spans="1:39" s="17" customFormat="1" ht="19.5" customHeight="1">
      <c r="A60" s="12" t="s">
        <v>18</v>
      </c>
      <c r="B60" s="122">
        <v>11</v>
      </c>
      <c r="C60" s="122">
        <v>11</v>
      </c>
      <c r="D60" s="122">
        <v>11</v>
      </c>
      <c r="E60" s="122">
        <v>11</v>
      </c>
      <c r="F60" s="122">
        <v>8</v>
      </c>
      <c r="G60" s="122">
        <v>8</v>
      </c>
      <c r="H60" s="25"/>
      <c r="I60" s="18">
        <v>11</v>
      </c>
      <c r="J60" s="18">
        <v>11</v>
      </c>
      <c r="K60" s="18">
        <v>11</v>
      </c>
      <c r="L60" s="18">
        <v>11</v>
      </c>
      <c r="M60" s="18">
        <v>8</v>
      </c>
      <c r="N60" s="18">
        <v>8</v>
      </c>
      <c r="O60" s="25"/>
      <c r="P60" s="18">
        <v>9.5</v>
      </c>
      <c r="Q60" s="18">
        <v>11</v>
      </c>
      <c r="R60" s="18">
        <v>9.5</v>
      </c>
      <c r="S60" s="18">
        <v>11</v>
      </c>
      <c r="T60" s="18">
        <v>9.5</v>
      </c>
      <c r="U60" s="18">
        <v>9.5</v>
      </c>
      <c r="V60" s="25"/>
      <c r="W60" s="18">
        <v>8</v>
      </c>
      <c r="X60" s="18">
        <v>8</v>
      </c>
      <c r="Y60" s="18">
        <v>8</v>
      </c>
      <c r="Z60" s="18">
        <v>8</v>
      </c>
      <c r="AA60" s="18">
        <v>8</v>
      </c>
      <c r="AB60" s="18">
        <v>8</v>
      </c>
      <c r="AC60" s="193"/>
      <c r="AD60" s="18">
        <v>8</v>
      </c>
      <c r="AE60" s="18">
        <v>8</v>
      </c>
      <c r="AF60" s="18">
        <v>8</v>
      </c>
      <c r="AG60" s="18">
        <v>8</v>
      </c>
      <c r="AH60" s="18">
        <v>8</v>
      </c>
      <c r="AI60" s="18">
        <v>8</v>
      </c>
      <c r="AJ60" s="25"/>
      <c r="AK60" s="18">
        <v>8</v>
      </c>
      <c r="AL60" s="18">
        <v>8</v>
      </c>
    </row>
    <row r="61" spans="1:39" s="17" customFormat="1" ht="17.25" customHeight="1">
      <c r="A61" s="2" t="s">
        <v>19</v>
      </c>
      <c r="B61" s="41"/>
      <c r="C61" s="41"/>
      <c r="D61" s="41"/>
      <c r="E61" s="41"/>
      <c r="F61" s="41"/>
      <c r="G61" s="41" t="s">
        <v>294</v>
      </c>
      <c r="H61" s="25"/>
      <c r="I61" s="41"/>
      <c r="J61" s="41"/>
      <c r="K61" s="41"/>
      <c r="L61" s="41"/>
      <c r="M61" s="41"/>
      <c r="N61" s="41"/>
      <c r="O61" s="25"/>
      <c r="P61" s="41"/>
      <c r="Q61" s="41" t="s">
        <v>347</v>
      </c>
      <c r="R61" s="41"/>
      <c r="S61" s="41"/>
      <c r="T61" s="41"/>
      <c r="U61" s="41"/>
      <c r="V61" s="25"/>
      <c r="W61" s="41"/>
      <c r="X61" s="41"/>
      <c r="Y61" s="41"/>
      <c r="Z61" s="41"/>
      <c r="AA61" s="41"/>
      <c r="AB61" s="41"/>
      <c r="AC61" s="25"/>
      <c r="AD61" s="41"/>
      <c r="AE61" s="41"/>
      <c r="AF61" s="41"/>
      <c r="AG61" s="41"/>
      <c r="AH61" s="41"/>
      <c r="AI61" s="41"/>
      <c r="AJ61" s="25"/>
      <c r="AK61" s="41"/>
      <c r="AL61" s="60"/>
    </row>
    <row r="62" spans="1:39" s="17" customFormat="1" ht="17.25" customHeight="1">
      <c r="A62" s="2" t="s">
        <v>20</v>
      </c>
      <c r="B62" s="20"/>
      <c r="C62" s="20"/>
      <c r="D62" s="20"/>
      <c r="E62" s="20"/>
      <c r="F62" s="20"/>
      <c r="G62" s="82">
        <v>0.9</v>
      </c>
      <c r="H62" s="25"/>
      <c r="I62" s="20"/>
      <c r="J62" s="20"/>
      <c r="K62" s="20"/>
      <c r="L62" s="20"/>
      <c r="M62" s="20"/>
      <c r="N62" s="20"/>
      <c r="O62" s="25"/>
      <c r="P62" s="20"/>
      <c r="Q62" s="82">
        <v>0.9</v>
      </c>
      <c r="R62" s="20"/>
      <c r="S62" s="20"/>
      <c r="T62" s="20"/>
      <c r="U62" s="20"/>
      <c r="V62" s="25"/>
      <c r="W62" s="20"/>
      <c r="X62" s="20"/>
      <c r="Y62" s="20"/>
      <c r="Z62" s="20"/>
      <c r="AA62" s="20"/>
      <c r="AB62" s="20"/>
      <c r="AC62" s="25"/>
      <c r="AD62" s="20"/>
      <c r="AE62" s="20"/>
      <c r="AF62" s="20"/>
      <c r="AG62" s="20"/>
      <c r="AH62" s="20"/>
      <c r="AI62" s="20"/>
      <c r="AJ62" s="25"/>
      <c r="AK62" s="20"/>
      <c r="AL62" s="60"/>
    </row>
    <row r="63" spans="1:39" s="11" customFormat="1" ht="14.25" customHeight="1">
      <c r="A63" s="229" t="s">
        <v>37</v>
      </c>
      <c r="B63" s="46"/>
      <c r="C63" s="49"/>
      <c r="D63" s="40"/>
      <c r="E63" s="40"/>
      <c r="G63" s="42" t="s">
        <v>258</v>
      </c>
      <c r="H63" s="48"/>
      <c r="J63" s="47"/>
      <c r="N63" s="50"/>
      <c r="O63" s="48"/>
      <c r="P63" s="40"/>
      <c r="Q63" s="50" t="s">
        <v>400</v>
      </c>
      <c r="R63" s="40"/>
      <c r="S63" s="40"/>
      <c r="T63" s="40"/>
      <c r="V63" s="48"/>
      <c r="W63" s="40"/>
      <c r="Y63" s="50" t="s">
        <v>400</v>
      </c>
      <c r="AA63" s="40"/>
      <c r="AB63" s="40"/>
      <c r="AC63" s="48"/>
      <c r="AE63" s="40"/>
      <c r="AF63" s="40"/>
      <c r="AG63" s="40"/>
      <c r="AH63" s="50" t="s">
        <v>400</v>
      </c>
      <c r="AI63" s="47"/>
      <c r="AJ63" s="48"/>
      <c r="AK63" s="62"/>
      <c r="AL63" s="61"/>
    </row>
    <row r="64" spans="1:39" s="11" customFormat="1" ht="14.25" customHeight="1">
      <c r="A64" s="230"/>
      <c r="B64" s="22"/>
      <c r="C64" s="22"/>
      <c r="D64" s="40"/>
      <c r="E64" s="40"/>
      <c r="F64" s="40"/>
      <c r="G64" s="22" t="s">
        <v>259</v>
      </c>
      <c r="H64" s="48"/>
      <c r="I64" s="40"/>
      <c r="J64" s="21"/>
      <c r="K64" s="40"/>
      <c r="L64" s="40"/>
      <c r="M64" s="40"/>
      <c r="N64" s="40"/>
      <c r="O64" s="48"/>
      <c r="P64" s="40"/>
      <c r="Q64" s="22" t="s">
        <v>412</v>
      </c>
      <c r="R64" s="40"/>
      <c r="S64" s="40"/>
      <c r="T64" s="40"/>
      <c r="U64" s="40"/>
      <c r="V64" s="48"/>
      <c r="W64" s="40"/>
      <c r="X64" s="40"/>
      <c r="Y64" s="22" t="s">
        <v>440</v>
      </c>
      <c r="Z64" s="40"/>
      <c r="AA64" s="40"/>
      <c r="AB64" s="40"/>
      <c r="AC64" s="48"/>
      <c r="AD64" s="40"/>
      <c r="AE64" s="40"/>
      <c r="AF64" s="40"/>
      <c r="AG64" s="40"/>
      <c r="AH64" s="22" t="s">
        <v>1142</v>
      </c>
      <c r="AI64" s="21"/>
      <c r="AJ64" s="48"/>
      <c r="AK64" s="58"/>
      <c r="AL64" s="61"/>
    </row>
    <row r="65" spans="1:38" s="11" customFormat="1" ht="14.25" customHeight="1">
      <c r="A65" s="230"/>
      <c r="B65" s="22"/>
      <c r="C65" s="22"/>
      <c r="D65" s="40"/>
      <c r="E65" s="40"/>
      <c r="F65" s="40"/>
      <c r="G65" s="22" t="s">
        <v>260</v>
      </c>
      <c r="H65" s="48"/>
      <c r="I65" s="40"/>
      <c r="J65" s="21"/>
      <c r="K65" s="40"/>
      <c r="L65" s="40"/>
      <c r="M65" s="40"/>
      <c r="N65" s="40"/>
      <c r="O65" s="48"/>
      <c r="P65" s="40"/>
      <c r="Q65" s="53" t="s">
        <v>413</v>
      </c>
      <c r="R65" s="40"/>
      <c r="S65" s="40"/>
      <c r="T65" s="40"/>
      <c r="U65" s="40"/>
      <c r="V65" s="48"/>
      <c r="W65" s="40"/>
      <c r="X65" s="40"/>
      <c r="Y65" s="22" t="s">
        <v>1047</v>
      </c>
      <c r="Z65" s="40"/>
      <c r="AA65" s="40"/>
      <c r="AB65" s="40"/>
      <c r="AC65" s="48"/>
      <c r="AD65" s="40"/>
      <c r="AE65" s="40"/>
      <c r="AF65" s="40"/>
      <c r="AG65" s="40"/>
      <c r="AH65" s="22" t="s">
        <v>1143</v>
      </c>
      <c r="AI65" s="21"/>
      <c r="AJ65" s="48"/>
      <c r="AK65" s="58"/>
      <c r="AL65" s="61"/>
    </row>
    <row r="66" spans="1:38" s="11" customFormat="1" ht="14.25" customHeight="1">
      <c r="A66" s="230"/>
      <c r="B66" s="22"/>
      <c r="C66" s="55"/>
      <c r="D66" s="40"/>
      <c r="E66" s="40"/>
      <c r="F66" s="40"/>
      <c r="G66" s="22" t="s">
        <v>261</v>
      </c>
      <c r="H66" s="48"/>
      <c r="I66" s="40"/>
      <c r="J66" s="21"/>
      <c r="K66" s="40"/>
      <c r="L66" s="40"/>
      <c r="M66" s="40"/>
      <c r="N66" s="40"/>
      <c r="O66" s="48"/>
      <c r="P66" s="40"/>
      <c r="Q66" s="53" t="s">
        <v>414</v>
      </c>
      <c r="R66" s="40"/>
      <c r="S66" s="40"/>
      <c r="T66" s="40"/>
      <c r="U66" s="40"/>
      <c r="V66" s="48"/>
      <c r="W66" s="40"/>
      <c r="X66" s="40"/>
      <c r="Y66" s="22" t="s">
        <v>1048</v>
      </c>
      <c r="Z66" s="40"/>
      <c r="AA66" s="40"/>
      <c r="AB66" s="40"/>
      <c r="AC66" s="48"/>
      <c r="AD66" s="40"/>
      <c r="AE66" s="40"/>
      <c r="AF66" s="40"/>
      <c r="AG66" s="40"/>
      <c r="AH66" s="22" t="s">
        <v>1051</v>
      </c>
      <c r="AI66" s="21"/>
      <c r="AJ66" s="48"/>
      <c r="AK66" s="58"/>
      <c r="AL66" s="61"/>
    </row>
    <row r="67" spans="1:38" s="11" customFormat="1" ht="14.25" customHeight="1">
      <c r="A67" s="230"/>
      <c r="B67" s="22"/>
      <c r="C67" s="22"/>
      <c r="D67" s="40"/>
      <c r="E67" s="40"/>
      <c r="F67" s="40"/>
      <c r="G67" s="22" t="s">
        <v>262</v>
      </c>
      <c r="H67" s="48"/>
      <c r="I67" s="40"/>
      <c r="J67" s="21"/>
      <c r="K67" s="40"/>
      <c r="L67" s="40"/>
      <c r="M67" s="40"/>
      <c r="N67" s="40"/>
      <c r="O67" s="48"/>
      <c r="P67" s="40"/>
      <c r="Q67" s="190" t="s">
        <v>434</v>
      </c>
      <c r="R67" s="40"/>
      <c r="S67" s="40"/>
      <c r="T67" s="40"/>
      <c r="U67" s="40"/>
      <c r="V67" s="48"/>
      <c r="W67" s="40"/>
      <c r="X67" s="40"/>
      <c r="Y67" s="22" t="s">
        <v>1239</v>
      </c>
      <c r="Z67" s="40"/>
      <c r="AA67" s="40"/>
      <c r="AB67" s="40"/>
      <c r="AC67" s="48"/>
      <c r="AD67" s="40"/>
      <c r="AE67" s="40"/>
      <c r="AF67" s="40"/>
      <c r="AG67" s="40"/>
      <c r="AH67" s="74" t="s">
        <v>445</v>
      </c>
      <c r="AI67" s="21"/>
      <c r="AJ67" s="48"/>
      <c r="AK67" s="58"/>
      <c r="AL67" s="61"/>
    </row>
    <row r="68" spans="1:38" s="11" customFormat="1" ht="14.25" customHeight="1">
      <c r="A68" s="230"/>
      <c r="B68" s="22"/>
      <c r="C68" s="22"/>
      <c r="D68" s="40"/>
      <c r="E68" s="40"/>
      <c r="F68" s="40"/>
      <c r="G68" s="22" t="s">
        <v>263</v>
      </c>
      <c r="H68" s="48"/>
      <c r="I68" s="40"/>
      <c r="J68" s="21"/>
      <c r="K68" s="40"/>
      <c r="L68" s="40"/>
      <c r="M68" s="40"/>
      <c r="N68" s="40"/>
      <c r="O68" s="48"/>
      <c r="P68" s="40"/>
      <c r="Q68" s="171" t="s">
        <v>435</v>
      </c>
      <c r="R68" s="40"/>
      <c r="S68" s="40"/>
      <c r="T68" s="40"/>
      <c r="U68" s="40"/>
      <c r="V68" s="48"/>
      <c r="W68" s="40"/>
      <c r="X68" s="40"/>
      <c r="Y68" s="189" t="s">
        <v>1635</v>
      </c>
      <c r="Z68" s="40"/>
      <c r="AA68" s="40"/>
      <c r="AB68" s="40"/>
      <c r="AC68" s="48"/>
      <c r="AD68" s="40"/>
      <c r="AE68" s="40"/>
      <c r="AF68" s="40"/>
      <c r="AG68" s="40"/>
      <c r="AH68" s="74" t="s">
        <v>447</v>
      </c>
      <c r="AI68" s="21"/>
      <c r="AJ68" s="48"/>
      <c r="AK68" s="58"/>
      <c r="AL68" s="61"/>
    </row>
    <row r="69" spans="1:38" s="11" customFormat="1" ht="14.25" customHeight="1">
      <c r="A69" s="230"/>
      <c r="B69" s="22"/>
      <c r="C69" s="22"/>
      <c r="D69" s="40"/>
      <c r="E69" s="40"/>
      <c r="F69" s="40"/>
      <c r="G69" s="22" t="s">
        <v>264</v>
      </c>
      <c r="H69" s="48"/>
      <c r="I69" s="40"/>
      <c r="J69" s="21"/>
      <c r="K69" s="40"/>
      <c r="L69" s="40"/>
      <c r="M69" s="40"/>
      <c r="N69" s="40"/>
      <c r="O69" s="48"/>
      <c r="P69" s="40"/>
      <c r="Q69" s="171" t="s">
        <v>442</v>
      </c>
      <c r="R69" s="40"/>
      <c r="S69" s="40"/>
      <c r="T69" s="40"/>
      <c r="U69" s="40"/>
      <c r="V69" s="48"/>
      <c r="W69" s="40"/>
      <c r="X69" s="40"/>
      <c r="Y69" s="40"/>
      <c r="Z69" s="40"/>
      <c r="AA69" s="40"/>
      <c r="AB69" s="40"/>
      <c r="AC69" s="48"/>
      <c r="AD69" s="40"/>
      <c r="AE69" s="40"/>
      <c r="AF69" s="40"/>
      <c r="AG69" s="40"/>
      <c r="AH69" s="21"/>
      <c r="AI69" s="21"/>
      <c r="AJ69" s="48"/>
      <c r="AK69" s="58"/>
      <c r="AL69" s="61"/>
    </row>
    <row r="70" spans="1:38" s="11" customFormat="1" ht="14.25" customHeight="1">
      <c r="A70" s="230"/>
      <c r="B70" s="22"/>
      <c r="C70" s="22"/>
      <c r="D70" s="40"/>
      <c r="E70" s="40"/>
      <c r="F70" s="40"/>
      <c r="G70" s="22" t="s">
        <v>265</v>
      </c>
      <c r="H70" s="48"/>
      <c r="I70" s="40"/>
      <c r="J70" s="21"/>
      <c r="K70" s="40"/>
      <c r="L70" s="40"/>
      <c r="M70" s="40"/>
      <c r="N70" s="40"/>
      <c r="O70" s="48"/>
      <c r="P70" s="40"/>
      <c r="Q70" s="171" t="s">
        <v>443</v>
      </c>
      <c r="R70" s="40"/>
      <c r="S70" s="40"/>
      <c r="T70" s="40"/>
      <c r="U70" s="40"/>
      <c r="V70" s="48"/>
      <c r="W70" s="40"/>
      <c r="X70" s="40"/>
      <c r="Y70" s="40"/>
      <c r="Z70" s="40"/>
      <c r="AA70" s="40"/>
      <c r="AB70" s="40"/>
      <c r="AC70" s="48"/>
      <c r="AD70" s="40"/>
      <c r="AE70" s="40"/>
      <c r="AF70" s="40"/>
      <c r="AG70" s="40"/>
      <c r="AH70" s="22"/>
      <c r="AI70" s="21"/>
      <c r="AJ70" s="48"/>
      <c r="AK70" s="58"/>
      <c r="AL70" s="61"/>
    </row>
    <row r="71" spans="1:38" s="11" customFormat="1" ht="14.25" customHeight="1">
      <c r="A71" s="230"/>
      <c r="B71" s="22"/>
      <c r="C71" s="22"/>
      <c r="D71" s="40"/>
      <c r="E71" s="40"/>
      <c r="F71" s="40"/>
      <c r="G71" s="22" t="s">
        <v>266</v>
      </c>
      <c r="H71" s="48"/>
      <c r="I71" s="40"/>
      <c r="J71" s="21"/>
      <c r="K71" s="40"/>
      <c r="L71" s="40"/>
      <c r="M71" s="40"/>
      <c r="N71" s="40"/>
      <c r="O71" s="48"/>
      <c r="P71" s="40"/>
      <c r="Q71" s="171" t="s">
        <v>441</v>
      </c>
      <c r="R71" s="50"/>
      <c r="S71" s="40"/>
      <c r="T71" s="40"/>
      <c r="U71" s="40"/>
      <c r="V71" s="48"/>
      <c r="W71" s="21"/>
      <c r="X71" s="40"/>
      <c r="Y71" s="40"/>
      <c r="Z71" s="40"/>
      <c r="AA71" s="40"/>
      <c r="AB71" s="40"/>
      <c r="AC71" s="48"/>
      <c r="AD71" s="40"/>
      <c r="AE71" s="40"/>
      <c r="AF71" s="40"/>
      <c r="AG71" s="40"/>
      <c r="AH71" s="40"/>
      <c r="AI71" s="21"/>
      <c r="AJ71" s="48"/>
      <c r="AL71" s="61"/>
    </row>
    <row r="72" spans="1:38" s="11" customFormat="1" ht="14.25" customHeight="1">
      <c r="A72" s="230"/>
      <c r="B72" s="22"/>
      <c r="C72" s="22"/>
      <c r="D72" s="40"/>
      <c r="E72" s="40"/>
      <c r="F72" s="40"/>
      <c r="G72" s="42" t="s">
        <v>230</v>
      </c>
      <c r="H72" s="48"/>
      <c r="I72" s="40"/>
      <c r="J72" s="21"/>
      <c r="K72" s="40"/>
      <c r="L72" s="40"/>
      <c r="M72" s="40"/>
      <c r="N72" s="40"/>
      <c r="O72" s="48"/>
      <c r="P72" s="40"/>
      <c r="Q72" s="40"/>
      <c r="R72" s="40"/>
      <c r="S72" s="40"/>
      <c r="T72" s="40"/>
      <c r="U72" s="40"/>
      <c r="V72" s="48"/>
      <c r="W72" s="21"/>
      <c r="X72" s="40"/>
      <c r="Y72" s="40"/>
      <c r="Z72" s="40"/>
      <c r="AA72" s="40"/>
      <c r="AB72" s="40"/>
      <c r="AC72" s="48"/>
      <c r="AD72" s="40"/>
      <c r="AE72" s="40"/>
      <c r="AF72" s="40"/>
      <c r="AG72" s="40"/>
      <c r="AH72" s="22"/>
      <c r="AI72" s="21"/>
      <c r="AJ72" s="48"/>
      <c r="AK72" s="58"/>
      <c r="AL72" s="61"/>
    </row>
    <row r="73" spans="1:38" s="11" customFormat="1" ht="14.25" customHeight="1">
      <c r="A73" s="230"/>
      <c r="B73" s="91"/>
      <c r="C73" s="22"/>
      <c r="D73" s="40"/>
      <c r="E73" s="40"/>
      <c r="F73" s="40"/>
      <c r="G73" s="22" t="s">
        <v>346</v>
      </c>
      <c r="H73" s="48"/>
      <c r="I73" s="40"/>
      <c r="J73" s="21"/>
      <c r="K73" s="40"/>
      <c r="L73" s="40"/>
      <c r="M73" s="40"/>
      <c r="N73" s="40"/>
      <c r="O73" s="48"/>
      <c r="P73" s="40"/>
      <c r="Q73" s="40"/>
      <c r="R73" s="40"/>
      <c r="S73" s="40"/>
      <c r="T73" s="40"/>
      <c r="U73" s="40"/>
      <c r="V73" s="48"/>
      <c r="W73" s="21"/>
      <c r="X73" s="40"/>
      <c r="Y73" s="40"/>
      <c r="Z73" s="40"/>
      <c r="AA73" s="40"/>
      <c r="AB73" s="40"/>
      <c r="AC73" s="48"/>
      <c r="AD73" s="40"/>
      <c r="AE73" s="40"/>
      <c r="AF73" s="40"/>
      <c r="AG73" s="40"/>
      <c r="AH73" s="91"/>
      <c r="AI73" s="21"/>
      <c r="AJ73" s="231">
        <f>+SUM(B89:AL89)</f>
        <v>19032</v>
      </c>
      <c r="AK73" s="232"/>
      <c r="AL73" s="23" t="s">
        <v>1</v>
      </c>
    </row>
    <row r="74" spans="1:38" s="11" customFormat="1" ht="14.25" customHeight="1">
      <c r="A74" s="230"/>
      <c r="B74" s="91"/>
      <c r="C74" s="22"/>
      <c r="D74" s="40"/>
      <c r="E74" s="40"/>
      <c r="F74" s="40"/>
      <c r="G74" s="53" t="s">
        <v>240</v>
      </c>
      <c r="H74" s="48"/>
      <c r="I74" s="40"/>
      <c r="J74" s="21"/>
      <c r="K74" s="40"/>
      <c r="L74" s="40"/>
      <c r="M74" s="40"/>
      <c r="N74" s="40"/>
      <c r="O74" s="48"/>
      <c r="P74" s="40"/>
      <c r="Q74" s="40"/>
      <c r="R74" s="40"/>
      <c r="S74" s="40"/>
      <c r="T74" s="40"/>
      <c r="U74" s="40"/>
      <c r="V74" s="48"/>
      <c r="W74" s="21"/>
      <c r="X74" s="40"/>
      <c r="Y74" s="53"/>
      <c r="Z74" s="40"/>
      <c r="AA74" s="40"/>
      <c r="AB74" s="40"/>
      <c r="AC74" s="48"/>
      <c r="AD74" s="40"/>
      <c r="AE74" s="40"/>
      <c r="AF74" s="40"/>
      <c r="AG74" s="40"/>
      <c r="AH74" s="91"/>
      <c r="AI74" s="40"/>
      <c r="AJ74" s="48"/>
      <c r="AK74" s="156"/>
      <c r="AL74" s="61"/>
    </row>
    <row r="75" spans="1:38" s="11" customFormat="1" ht="14.25" customHeight="1">
      <c r="A75" s="230"/>
      <c r="B75" s="91"/>
      <c r="C75" s="22"/>
      <c r="D75" s="40"/>
      <c r="E75" s="40"/>
      <c r="F75" s="40"/>
      <c r="G75" s="53" t="s">
        <v>241</v>
      </c>
      <c r="H75" s="48"/>
      <c r="I75" s="40"/>
      <c r="J75" s="21"/>
      <c r="K75" s="40"/>
      <c r="L75" s="40"/>
      <c r="M75" s="40"/>
      <c r="N75" s="40"/>
      <c r="O75" s="48"/>
      <c r="P75" s="40"/>
      <c r="Q75" s="40"/>
      <c r="R75" s="40"/>
      <c r="S75" s="40"/>
      <c r="T75" s="40"/>
      <c r="U75" s="21"/>
      <c r="V75" s="48"/>
      <c r="W75" s="21"/>
      <c r="X75" s="40"/>
      <c r="Y75" s="40"/>
      <c r="Z75" s="50"/>
      <c r="AA75" s="40"/>
      <c r="AB75" s="40"/>
      <c r="AC75" s="48"/>
      <c r="AD75" s="40"/>
      <c r="AE75" s="40"/>
      <c r="AF75" s="40"/>
      <c r="AG75" s="40"/>
      <c r="AH75" s="91"/>
      <c r="AI75" s="40"/>
      <c r="AJ75" s="48"/>
      <c r="AK75" s="156"/>
      <c r="AL75" s="61"/>
    </row>
    <row r="76" spans="1:38" s="11" customFormat="1" ht="14.25" customHeight="1">
      <c r="A76" s="230"/>
      <c r="B76" s="91"/>
      <c r="C76" s="22"/>
      <c r="D76" s="40"/>
      <c r="E76" s="40"/>
      <c r="F76" s="40"/>
      <c r="G76" s="53" t="s">
        <v>242</v>
      </c>
      <c r="H76" s="48"/>
      <c r="I76" s="40"/>
      <c r="J76" s="21"/>
      <c r="K76" s="40"/>
      <c r="L76" s="40"/>
      <c r="M76" s="40"/>
      <c r="N76" s="40"/>
      <c r="O76" s="48"/>
      <c r="P76" s="40"/>
      <c r="Q76" s="40"/>
      <c r="R76" s="40"/>
      <c r="S76" s="40"/>
      <c r="T76" s="40"/>
      <c r="U76" s="21"/>
      <c r="V76" s="48"/>
      <c r="W76" s="21"/>
      <c r="X76" s="40"/>
      <c r="Y76" s="40"/>
      <c r="Z76" s="40"/>
      <c r="AA76" s="40"/>
      <c r="AB76" s="40"/>
      <c r="AC76" s="48"/>
      <c r="AD76" s="40"/>
      <c r="AE76" s="40"/>
      <c r="AF76" s="40"/>
      <c r="AG76" s="40"/>
      <c r="AH76" s="91"/>
      <c r="AI76" s="40"/>
      <c r="AJ76" s="48"/>
      <c r="AK76" s="156"/>
      <c r="AL76" s="61"/>
    </row>
    <row r="77" spans="1:38" s="11" customFormat="1" ht="14.25" customHeight="1">
      <c r="A77" s="230"/>
      <c r="B77" s="91"/>
      <c r="C77" s="22"/>
      <c r="D77" s="40"/>
      <c r="E77" s="40"/>
      <c r="F77" s="40"/>
      <c r="G77" s="53" t="s">
        <v>243</v>
      </c>
      <c r="H77" s="48"/>
      <c r="I77" s="40"/>
      <c r="J77" s="21"/>
      <c r="K77" s="40"/>
      <c r="L77" s="40"/>
      <c r="M77" s="40"/>
      <c r="N77" s="40"/>
      <c r="O77" s="48"/>
      <c r="P77" s="40"/>
      <c r="Q77" s="40"/>
      <c r="R77" s="40"/>
      <c r="S77" s="40"/>
      <c r="T77" s="40"/>
      <c r="U77" s="21"/>
      <c r="V77" s="48"/>
      <c r="W77" s="21"/>
      <c r="X77" s="40"/>
      <c r="Y77" s="40"/>
      <c r="Z77" s="40"/>
      <c r="AA77" s="40"/>
      <c r="AB77" s="40"/>
      <c r="AC77" s="48"/>
      <c r="AD77" s="40"/>
      <c r="AE77" s="40"/>
      <c r="AF77" s="40"/>
      <c r="AG77" s="40"/>
      <c r="AH77" s="91"/>
      <c r="AI77" s="40"/>
      <c r="AJ77" s="48"/>
      <c r="AK77" s="156"/>
      <c r="AL77" s="61"/>
    </row>
    <row r="78" spans="1:38" s="11" customFormat="1" ht="14.25" customHeight="1">
      <c r="A78" s="230"/>
      <c r="B78" s="91"/>
      <c r="C78" s="22"/>
      <c r="D78" s="40"/>
      <c r="E78" s="40"/>
      <c r="F78" s="40"/>
      <c r="G78" s="53" t="s">
        <v>244</v>
      </c>
      <c r="H78" s="48"/>
      <c r="J78" s="21"/>
      <c r="K78" s="40"/>
      <c r="L78" s="40"/>
      <c r="M78" s="40"/>
      <c r="N78" s="40"/>
      <c r="O78" s="48"/>
      <c r="P78" s="40"/>
      <c r="Q78" s="40"/>
      <c r="R78" s="40"/>
      <c r="S78" s="40"/>
      <c r="T78" s="40"/>
      <c r="U78" s="21"/>
      <c r="V78" s="48"/>
      <c r="W78" s="21"/>
      <c r="X78" s="40"/>
      <c r="Y78" s="40"/>
      <c r="Z78" s="40"/>
      <c r="AA78" s="40"/>
      <c r="AB78" s="40"/>
      <c r="AC78" s="48"/>
      <c r="AD78" s="40"/>
      <c r="AE78" s="40"/>
      <c r="AF78" s="40"/>
      <c r="AG78" s="40"/>
      <c r="AH78" s="91"/>
      <c r="AI78" s="40"/>
      <c r="AJ78" s="48"/>
      <c r="AK78" s="156"/>
      <c r="AL78" s="61"/>
    </row>
    <row r="79" spans="1:38" s="11" customFormat="1" ht="14.25" customHeight="1">
      <c r="A79" s="230"/>
      <c r="B79" s="91"/>
      <c r="C79" s="22"/>
      <c r="D79" s="40"/>
      <c r="E79" s="40"/>
      <c r="F79" s="40"/>
      <c r="G79" s="53" t="s">
        <v>245</v>
      </c>
      <c r="H79" s="48"/>
      <c r="I79" s="21"/>
      <c r="J79" s="40"/>
      <c r="K79" s="40"/>
      <c r="L79" s="40"/>
      <c r="M79" s="40"/>
      <c r="N79" s="40"/>
      <c r="O79" s="48"/>
      <c r="P79" s="40"/>
      <c r="Q79" s="40"/>
      <c r="R79" s="40"/>
      <c r="S79" s="40"/>
      <c r="T79" s="40"/>
      <c r="U79" s="21"/>
      <c r="V79" s="48"/>
      <c r="W79" s="21"/>
      <c r="X79" s="40"/>
      <c r="Y79" s="40"/>
      <c r="Z79" s="40"/>
      <c r="AA79" s="40"/>
      <c r="AB79" s="40"/>
      <c r="AC79" s="48"/>
      <c r="AD79" s="40"/>
      <c r="AE79" s="40"/>
      <c r="AF79" s="40"/>
      <c r="AG79" s="40"/>
      <c r="AH79" s="91"/>
      <c r="AI79" s="40"/>
      <c r="AJ79" s="48"/>
      <c r="AK79" s="156"/>
      <c r="AL79" s="61"/>
    </row>
    <row r="80" spans="1:38" s="11" customFormat="1" ht="14.25" customHeight="1">
      <c r="A80" s="230"/>
      <c r="B80" s="91"/>
      <c r="C80" s="22"/>
      <c r="D80" s="40"/>
      <c r="E80" s="40"/>
      <c r="F80" s="40"/>
      <c r="G80" s="53" t="s">
        <v>231</v>
      </c>
      <c r="H80" s="48"/>
      <c r="I80" s="21"/>
      <c r="J80" s="40"/>
      <c r="K80" s="40"/>
      <c r="L80" s="40"/>
      <c r="M80" s="40"/>
      <c r="N80" s="40"/>
      <c r="O80" s="48"/>
      <c r="P80" s="40"/>
      <c r="Q80" s="40"/>
      <c r="R80" s="40"/>
      <c r="S80" s="40"/>
      <c r="T80" s="40"/>
      <c r="U80" s="21"/>
      <c r="V80" s="48"/>
      <c r="W80" s="21"/>
      <c r="X80" s="40"/>
      <c r="Y80" s="40"/>
      <c r="Z80" s="40"/>
      <c r="AA80" s="40"/>
      <c r="AB80" s="40"/>
      <c r="AC80" s="48"/>
      <c r="AD80" s="40"/>
      <c r="AE80" s="40"/>
      <c r="AF80" s="40"/>
      <c r="AG80" s="40"/>
      <c r="AH80" s="91"/>
      <c r="AI80" s="40"/>
      <c r="AJ80" s="48"/>
      <c r="AK80" s="156"/>
      <c r="AL80" s="61"/>
    </row>
    <row r="81" spans="1:38" s="11" customFormat="1" ht="14.25" customHeight="1">
      <c r="A81" s="230"/>
      <c r="B81" s="91"/>
      <c r="C81" s="22"/>
      <c r="D81" s="40"/>
      <c r="E81" s="40"/>
      <c r="F81" s="40"/>
      <c r="G81" s="53" t="s">
        <v>232</v>
      </c>
      <c r="H81" s="48"/>
      <c r="I81" s="21"/>
      <c r="J81" s="40"/>
      <c r="K81" s="40"/>
      <c r="L81" s="40"/>
      <c r="M81" s="40"/>
      <c r="N81" s="40"/>
      <c r="O81" s="48"/>
      <c r="P81" s="40"/>
      <c r="Q81" s="40"/>
      <c r="R81" s="40"/>
      <c r="S81" s="40"/>
      <c r="T81" s="40"/>
      <c r="U81" s="21"/>
      <c r="V81" s="48"/>
      <c r="W81" s="21"/>
      <c r="X81" s="40"/>
      <c r="Y81" s="40"/>
      <c r="Z81" s="40"/>
      <c r="AA81" s="40"/>
      <c r="AB81" s="40"/>
      <c r="AC81" s="48"/>
      <c r="AD81" s="40"/>
      <c r="AE81" s="40"/>
      <c r="AF81" s="40"/>
      <c r="AG81" s="40"/>
      <c r="AH81" s="91"/>
      <c r="AI81" s="40"/>
      <c r="AJ81" s="48"/>
      <c r="AK81" s="156"/>
      <c r="AL81" s="61"/>
    </row>
    <row r="82" spans="1:38" s="11" customFormat="1" ht="14.25" customHeight="1">
      <c r="A82" s="230"/>
      <c r="B82" s="91"/>
      <c r="C82" s="22"/>
      <c r="D82" s="40"/>
      <c r="E82" s="40"/>
      <c r="F82" s="40"/>
      <c r="G82" s="53" t="s">
        <v>233</v>
      </c>
      <c r="H82" s="48"/>
      <c r="I82" s="21"/>
      <c r="J82" s="40"/>
      <c r="K82" s="40"/>
      <c r="L82" s="40"/>
      <c r="M82" s="40"/>
      <c r="N82" s="40"/>
      <c r="O82" s="48"/>
      <c r="P82" s="53"/>
      <c r="Q82" s="40"/>
      <c r="R82" s="40"/>
      <c r="S82" s="40"/>
      <c r="T82" s="40"/>
      <c r="U82" s="21"/>
      <c r="V82" s="48"/>
      <c r="W82" s="21"/>
      <c r="X82" s="40"/>
      <c r="Y82" s="40"/>
      <c r="Z82" s="40"/>
      <c r="AA82" s="40"/>
      <c r="AB82" s="40"/>
      <c r="AC82" s="48"/>
      <c r="AD82" s="40"/>
      <c r="AE82" s="40"/>
      <c r="AF82" s="40"/>
      <c r="AG82" s="40"/>
      <c r="AH82" s="91"/>
      <c r="AI82" s="40"/>
      <c r="AJ82" s="48"/>
      <c r="AK82" s="156"/>
      <c r="AL82" s="61"/>
    </row>
    <row r="83" spans="1:38" s="11" customFormat="1" ht="14.25" customHeight="1">
      <c r="A83" s="230"/>
      <c r="B83" s="91"/>
      <c r="C83" s="22"/>
      <c r="D83" s="40"/>
      <c r="E83" s="40"/>
      <c r="F83" s="40"/>
      <c r="G83" s="53" t="s">
        <v>234</v>
      </c>
      <c r="H83" s="48"/>
      <c r="I83" s="21"/>
      <c r="J83" s="40"/>
      <c r="K83" s="40"/>
      <c r="L83" s="40"/>
      <c r="M83" s="40"/>
      <c r="N83" s="40"/>
      <c r="O83" s="48"/>
      <c r="P83" s="53"/>
      <c r="Q83" s="40"/>
      <c r="R83" s="40"/>
      <c r="S83" s="40"/>
      <c r="T83" s="40"/>
      <c r="U83" s="21"/>
      <c r="V83" s="48"/>
      <c r="W83" s="21"/>
      <c r="X83" s="40"/>
      <c r="Y83" s="40"/>
      <c r="Z83" s="40"/>
      <c r="AA83" s="40"/>
      <c r="AB83" s="40"/>
      <c r="AC83" s="48"/>
      <c r="AD83" s="40"/>
      <c r="AE83" s="40"/>
      <c r="AF83" s="40"/>
      <c r="AG83" s="40"/>
      <c r="AH83" s="91"/>
      <c r="AI83" s="40"/>
      <c r="AJ83" s="48"/>
      <c r="AK83" s="156"/>
      <c r="AL83" s="61"/>
    </row>
    <row r="84" spans="1:38" s="11" customFormat="1" ht="14.25" customHeight="1">
      <c r="A84" s="230"/>
      <c r="B84" s="91"/>
      <c r="C84" s="22"/>
      <c r="D84" s="40"/>
      <c r="E84" s="40"/>
      <c r="F84" s="40"/>
      <c r="G84" s="53" t="s">
        <v>235</v>
      </c>
      <c r="H84" s="48"/>
      <c r="I84" s="21"/>
      <c r="J84" s="40"/>
      <c r="K84" s="40"/>
      <c r="L84" s="40"/>
      <c r="M84" s="40"/>
      <c r="N84" s="40"/>
      <c r="O84" s="48"/>
      <c r="P84" s="40"/>
      <c r="Q84" s="40"/>
      <c r="R84" s="40"/>
      <c r="S84" s="40"/>
      <c r="T84" s="40"/>
      <c r="U84" s="21"/>
      <c r="V84" s="48"/>
      <c r="W84" s="21"/>
      <c r="X84" s="40"/>
      <c r="Y84" s="40"/>
      <c r="Z84" s="50"/>
      <c r="AA84" s="40"/>
      <c r="AB84" s="21"/>
      <c r="AC84" s="48"/>
      <c r="AD84" s="40"/>
      <c r="AE84" s="40"/>
      <c r="AF84" s="40"/>
      <c r="AG84" s="40"/>
      <c r="AH84" s="91"/>
      <c r="AI84" s="40"/>
      <c r="AJ84" s="48"/>
      <c r="AK84" s="156"/>
      <c r="AL84" s="61"/>
    </row>
    <row r="85" spans="1:38" s="11" customFormat="1" ht="14.25" customHeight="1">
      <c r="A85" s="230"/>
      <c r="B85" s="91"/>
      <c r="C85" s="22"/>
      <c r="D85" s="40"/>
      <c r="E85" s="40"/>
      <c r="F85" s="40"/>
      <c r="G85" s="53" t="s">
        <v>236</v>
      </c>
      <c r="H85" s="48"/>
      <c r="I85" s="21"/>
      <c r="J85" s="40"/>
      <c r="K85" s="40"/>
      <c r="L85" s="40"/>
      <c r="M85" s="40"/>
      <c r="N85" s="40"/>
      <c r="O85" s="48"/>
      <c r="P85" s="40"/>
      <c r="Q85" s="40"/>
      <c r="R85" s="40"/>
      <c r="S85" s="40"/>
      <c r="T85" s="40"/>
      <c r="U85" s="21"/>
      <c r="V85" s="48"/>
      <c r="W85" s="21"/>
      <c r="X85" s="40"/>
      <c r="Y85" s="40"/>
      <c r="Z85" s="40"/>
      <c r="AA85" s="40"/>
      <c r="AB85" s="21"/>
      <c r="AC85" s="48"/>
      <c r="AD85" s="40"/>
      <c r="AE85" s="40"/>
      <c r="AF85" s="40"/>
      <c r="AG85" s="40"/>
      <c r="AH85" s="91"/>
      <c r="AI85" s="40"/>
      <c r="AJ85" s="48"/>
      <c r="AK85" s="156"/>
      <c r="AL85" s="61"/>
    </row>
    <row r="86" spans="1:38" s="11" customFormat="1" ht="14.25" customHeight="1">
      <c r="A86" s="230"/>
      <c r="B86" s="91"/>
      <c r="C86" s="22"/>
      <c r="D86" s="40"/>
      <c r="E86" s="40"/>
      <c r="F86" s="40"/>
      <c r="G86" s="53" t="s">
        <v>237</v>
      </c>
      <c r="H86" s="48"/>
      <c r="I86" s="21"/>
      <c r="J86" s="40"/>
      <c r="K86" s="40"/>
      <c r="L86" s="40"/>
      <c r="M86" s="40"/>
      <c r="N86" s="40"/>
      <c r="O86" s="48"/>
      <c r="P86" s="40"/>
      <c r="Q86" s="40"/>
      <c r="R86" s="40"/>
      <c r="S86" s="40"/>
      <c r="T86" s="40"/>
      <c r="U86" s="21"/>
      <c r="V86" s="48"/>
      <c r="W86" s="21"/>
      <c r="X86" s="40"/>
      <c r="Y86" s="40"/>
      <c r="Z86" s="40"/>
      <c r="AA86" s="40"/>
      <c r="AB86" s="21"/>
      <c r="AC86" s="48"/>
      <c r="AD86" s="40"/>
      <c r="AE86" s="40"/>
      <c r="AF86" s="40"/>
      <c r="AG86" s="40"/>
      <c r="AH86" s="91"/>
      <c r="AI86" s="40"/>
      <c r="AJ86" s="48"/>
      <c r="AK86" s="156"/>
      <c r="AL86" s="61"/>
    </row>
    <row r="87" spans="1:38" s="11" customFormat="1" ht="14.25" customHeight="1">
      <c r="A87" s="230"/>
      <c r="B87" s="91"/>
      <c r="C87" s="22"/>
      <c r="D87" s="40"/>
      <c r="E87" s="40"/>
      <c r="F87" s="40"/>
      <c r="G87" s="53" t="s">
        <v>238</v>
      </c>
      <c r="H87" s="48"/>
      <c r="I87" s="21"/>
      <c r="J87" s="40"/>
      <c r="K87" s="40"/>
      <c r="L87" s="40"/>
      <c r="M87" s="40"/>
      <c r="N87" s="40"/>
      <c r="O87" s="48"/>
      <c r="P87" s="40"/>
      <c r="Q87" s="40"/>
      <c r="R87" s="40"/>
      <c r="S87" s="40"/>
      <c r="T87" s="40"/>
      <c r="U87" s="21"/>
      <c r="V87" s="48"/>
      <c r="W87" s="21"/>
      <c r="Y87" s="40"/>
      <c r="Z87" s="40"/>
      <c r="AA87" s="40"/>
      <c r="AB87" s="21"/>
      <c r="AC87" s="48"/>
      <c r="AD87" s="40"/>
      <c r="AE87" s="40"/>
      <c r="AF87" s="40"/>
      <c r="AG87" s="40"/>
      <c r="AH87" s="91"/>
      <c r="AI87" s="40"/>
      <c r="AJ87" s="48"/>
      <c r="AK87" s="156"/>
      <c r="AL87" s="61"/>
    </row>
    <row r="88" spans="1:38" s="11" customFormat="1" ht="14.25" customHeight="1">
      <c r="A88" s="230"/>
      <c r="B88" s="91"/>
      <c r="C88" s="22"/>
      <c r="D88" s="40"/>
      <c r="E88" s="40"/>
      <c r="F88" s="40"/>
      <c r="G88" s="53" t="s">
        <v>239</v>
      </c>
      <c r="H88" s="48"/>
      <c r="I88" s="21"/>
      <c r="J88" s="40"/>
      <c r="K88" s="40"/>
      <c r="L88" s="40"/>
      <c r="M88" s="40"/>
      <c r="N88" s="40"/>
      <c r="O88" s="48"/>
      <c r="P88" s="40"/>
      <c r="Q88" s="40"/>
      <c r="R88" s="40"/>
      <c r="S88" s="40"/>
      <c r="T88" s="40"/>
      <c r="U88" s="21"/>
      <c r="V88" s="48"/>
      <c r="W88" s="21"/>
      <c r="X88" s="40"/>
      <c r="Y88" s="40"/>
      <c r="Z88" s="40"/>
      <c r="AA88" s="40"/>
      <c r="AB88" s="21"/>
      <c r="AC88" s="48"/>
      <c r="AD88" s="40"/>
      <c r="AE88" s="40"/>
      <c r="AF88" s="40"/>
      <c r="AG88" s="40"/>
      <c r="AH88" s="97" t="s">
        <v>1293</v>
      </c>
      <c r="AI88" s="40"/>
      <c r="AJ88" s="48"/>
      <c r="AK88" s="156"/>
      <c r="AL88" s="61"/>
    </row>
    <row r="89" spans="1:38" s="11" customFormat="1" ht="16.5" customHeight="1">
      <c r="A89" s="230"/>
      <c r="B89" s="24"/>
      <c r="C89" s="56"/>
      <c r="D89" s="24"/>
      <c r="E89" s="56"/>
      <c r="F89" s="242">
        <f>138+20+64+129+197+133+197+65+102+1199+50+371+72+52+318+113+110+240+328+253+428+451+544+96</f>
        <v>5670</v>
      </c>
      <c r="G89" s="243"/>
      <c r="H89" s="56"/>
      <c r="I89" s="24"/>
      <c r="J89" s="56"/>
      <c r="K89" s="24"/>
      <c r="L89" s="56"/>
      <c r="M89" s="24"/>
      <c r="N89" s="24"/>
      <c r="O89" s="24"/>
      <c r="P89" s="242">
        <f>563+493+589+1640+337+471+2+472</f>
        <v>4567</v>
      </c>
      <c r="Q89" s="243"/>
      <c r="R89" s="56"/>
      <c r="S89" s="24"/>
      <c r="T89" s="56"/>
      <c r="U89" s="24"/>
      <c r="V89" s="25"/>
      <c r="W89" s="56"/>
      <c r="X89" s="242">
        <f>105+764+505+3500</f>
        <v>4874</v>
      </c>
      <c r="Y89" s="243"/>
      <c r="Z89" s="56"/>
      <c r="AA89" s="24"/>
      <c r="AB89" s="56"/>
      <c r="AC89" s="24"/>
      <c r="AD89" s="56"/>
      <c r="AE89" s="24"/>
      <c r="AF89" s="56"/>
      <c r="AG89" s="24"/>
      <c r="AH89" s="233">
        <f>420+244+1274+1008+975</f>
        <v>3921</v>
      </c>
      <c r="AI89" s="234"/>
      <c r="AJ89" s="24"/>
      <c r="AK89" s="24"/>
      <c r="AL89" s="64"/>
    </row>
    <row r="90" spans="1:38" s="11" customFormat="1" ht="2.25" customHeight="1">
      <c r="A90" s="26"/>
      <c r="B90" s="27"/>
      <c r="C90" s="27"/>
      <c r="D90" s="27"/>
      <c r="E90" s="28"/>
      <c r="F90" s="27"/>
      <c r="G90" s="27"/>
      <c r="H90" s="27"/>
      <c r="I90" s="27"/>
      <c r="J90" s="44"/>
      <c r="K90" s="44"/>
      <c r="L90" s="44"/>
      <c r="M90" s="44"/>
      <c r="N90" s="44"/>
      <c r="O90" s="27"/>
      <c r="P90" s="27"/>
      <c r="Q90" s="44"/>
      <c r="R90" s="44"/>
      <c r="S90" s="44"/>
      <c r="T90" s="44"/>
      <c r="U90" s="44"/>
      <c r="V90" s="27"/>
      <c r="W90" s="27"/>
      <c r="X90" s="44"/>
      <c r="Y90" s="44"/>
      <c r="Z90" s="44"/>
      <c r="AA90" s="44"/>
      <c r="AB90" s="44"/>
      <c r="AC90" s="27"/>
      <c r="AD90" s="27"/>
      <c r="AE90" s="44"/>
      <c r="AF90" s="44"/>
      <c r="AG90" s="44"/>
      <c r="AH90" s="44"/>
      <c r="AI90" s="44"/>
      <c r="AJ90" s="30"/>
      <c r="AK90" s="44"/>
      <c r="AL90" s="30"/>
    </row>
    <row r="91" spans="1:38" s="57" customFormat="1" ht="32.25" customHeight="1">
      <c r="A91" s="236" t="s">
        <v>2</v>
      </c>
      <c r="B91" s="38" t="s">
        <v>3</v>
      </c>
      <c r="C91" s="32"/>
      <c r="D91" s="31"/>
      <c r="E91" s="31"/>
      <c r="F91" s="32"/>
      <c r="G91" s="32"/>
      <c r="H91" s="32"/>
      <c r="I91" s="238" t="s">
        <v>4</v>
      </c>
      <c r="J91" s="32"/>
      <c r="K91" s="32"/>
      <c r="L91" s="32"/>
      <c r="M91" s="32"/>
      <c r="N91" s="32"/>
      <c r="O91" s="32"/>
      <c r="P91" s="238" t="s">
        <v>5</v>
      </c>
      <c r="Q91" s="32"/>
      <c r="R91" s="32"/>
      <c r="S91" s="32"/>
      <c r="T91" s="32"/>
      <c r="U91" s="32"/>
      <c r="V91" s="32"/>
      <c r="W91" s="238" t="s">
        <v>6</v>
      </c>
      <c r="X91" s="32"/>
      <c r="Y91" s="32"/>
      <c r="Z91" s="32"/>
      <c r="AA91" s="32"/>
      <c r="AB91" s="32"/>
      <c r="AC91" s="32"/>
      <c r="AD91" s="238" t="s">
        <v>46</v>
      </c>
      <c r="AE91" s="32"/>
      <c r="AF91" s="32"/>
      <c r="AG91" s="32"/>
      <c r="AH91" s="32"/>
      <c r="AI91" s="32"/>
      <c r="AJ91" s="32"/>
      <c r="AK91" s="32"/>
      <c r="AL91" s="33"/>
    </row>
    <row r="92" spans="1:38" s="57" customFormat="1" ht="32.25" customHeight="1" thickBot="1">
      <c r="A92" s="237"/>
      <c r="B92" s="39" t="s">
        <v>7</v>
      </c>
      <c r="C92" s="35"/>
      <c r="D92" s="34"/>
      <c r="E92" s="34"/>
      <c r="F92" s="35"/>
      <c r="G92" s="35"/>
      <c r="H92" s="35"/>
      <c r="I92" s="239"/>
      <c r="J92" s="35"/>
      <c r="K92" s="35"/>
      <c r="L92" s="35"/>
      <c r="M92" s="35"/>
      <c r="N92" s="35"/>
      <c r="O92" s="35"/>
      <c r="P92" s="239"/>
      <c r="Q92" s="35"/>
      <c r="R92" s="35"/>
      <c r="S92" s="35"/>
      <c r="T92" s="35"/>
      <c r="U92" s="35"/>
      <c r="V92" s="35"/>
      <c r="W92" s="239"/>
      <c r="X92" s="35"/>
      <c r="Y92" s="35"/>
      <c r="Z92" s="35"/>
      <c r="AA92" s="35"/>
      <c r="AB92" s="35"/>
      <c r="AC92" s="35"/>
      <c r="AD92" s="239"/>
      <c r="AE92" s="35"/>
      <c r="AF92" s="35"/>
      <c r="AG92" s="35"/>
      <c r="AH92" s="35"/>
      <c r="AI92" s="35"/>
      <c r="AJ92" s="35"/>
      <c r="AK92" s="35"/>
      <c r="AL92" s="36"/>
    </row>
  </sheetData>
  <mergeCells count="22">
    <mergeCell ref="AJ46:AK46"/>
    <mergeCell ref="A63:A89"/>
    <mergeCell ref="L57:M57"/>
    <mergeCell ref="A9:A32"/>
    <mergeCell ref="AJ17:AK17"/>
    <mergeCell ref="Z32:AA32"/>
    <mergeCell ref="AE32:AF32"/>
    <mergeCell ref="AH32:AI32"/>
    <mergeCell ref="AJ73:AK73"/>
    <mergeCell ref="F89:G89"/>
    <mergeCell ref="W57:X57"/>
    <mergeCell ref="AH89:AI89"/>
    <mergeCell ref="P89:Q89"/>
    <mergeCell ref="G32:H32"/>
    <mergeCell ref="L32:M32"/>
    <mergeCell ref="A38:A57"/>
    <mergeCell ref="AD91:AD92"/>
    <mergeCell ref="X89:Y89"/>
    <mergeCell ref="A91:A92"/>
    <mergeCell ref="I91:I92"/>
    <mergeCell ref="P91:P92"/>
    <mergeCell ref="W91:W92"/>
  </mergeCells>
  <phoneticPr fontId="48" type="noConversion"/>
  <conditionalFormatting sqref="Y63">
    <cfRule type="duplicateValues" dxfId="6" priority="1"/>
  </conditionalFormatting>
  <conditionalFormatting sqref="Z84">
    <cfRule type="duplicateValues" dxfId="5" priority="2"/>
  </conditionalFormatting>
  <printOptions horizontalCentered="1"/>
  <pageMargins left="0" right="0" top="0" bottom="0" header="0" footer="0"/>
  <pageSetup paperSize="9"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M53"/>
  <sheetViews>
    <sheetView zoomScale="75" zoomScaleNormal="75" workbookViewId="0">
      <pane ySplit="4" topLeftCell="A5" activePane="bottomLeft" state="frozen"/>
      <selection activeCell="X50" sqref="X50"/>
      <selection pane="bottomLeft" activeCell="Z39" sqref="Z39:Z41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39" s="4" customFormat="1" ht="22">
      <c r="A1" s="3"/>
      <c r="B1" s="7"/>
      <c r="Q1" s="1" t="s">
        <v>1217</v>
      </c>
      <c r="AJ1" s="5" t="s">
        <v>1645</v>
      </c>
    </row>
    <row r="2" spans="1:39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39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39" s="11" customFormat="1" ht="17.25" customHeight="1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39" s="11" customFormat="1" ht="16.5" customHeight="1">
      <c r="A5" s="12" t="s">
        <v>0</v>
      </c>
      <c r="B5" s="16"/>
      <c r="C5" s="16"/>
      <c r="D5" s="16"/>
      <c r="E5" s="16"/>
      <c r="F5" s="16"/>
      <c r="G5" s="16">
        <v>560</v>
      </c>
      <c r="H5" s="25"/>
      <c r="I5" s="16">
        <v>560</v>
      </c>
      <c r="J5" s="16">
        <v>770</v>
      </c>
      <c r="K5" s="16">
        <v>770</v>
      </c>
      <c r="L5" s="68">
        <v>470</v>
      </c>
      <c r="M5" s="16">
        <v>720</v>
      </c>
      <c r="N5" s="16">
        <v>520</v>
      </c>
      <c r="O5" s="25"/>
      <c r="P5" s="16">
        <v>560</v>
      </c>
      <c r="Q5" s="16">
        <v>670</v>
      </c>
      <c r="R5" s="16">
        <v>770</v>
      </c>
      <c r="S5" s="16">
        <v>670</v>
      </c>
      <c r="T5" s="93">
        <v>690</v>
      </c>
      <c r="U5" s="16">
        <v>670</v>
      </c>
      <c r="V5" s="25"/>
      <c r="W5" s="16">
        <v>670</v>
      </c>
      <c r="X5" s="68">
        <v>600</v>
      </c>
      <c r="Y5" s="16">
        <v>670</v>
      </c>
      <c r="Z5" s="16">
        <v>670</v>
      </c>
      <c r="AA5" s="16">
        <v>670</v>
      </c>
      <c r="AB5" s="16">
        <v>670</v>
      </c>
      <c r="AC5" s="25"/>
      <c r="AD5" s="16">
        <v>670</v>
      </c>
      <c r="AE5" s="16">
        <v>670</v>
      </c>
      <c r="AF5" s="16">
        <v>670</v>
      </c>
      <c r="AG5" s="16">
        <v>670</v>
      </c>
      <c r="AH5" s="51">
        <v>670</v>
      </c>
      <c r="AI5" s="16"/>
      <c r="AJ5" s="25"/>
      <c r="AK5" s="16"/>
      <c r="AL5" s="16"/>
      <c r="AM5" s="17">
        <f>+SUM(B5:AL5)</f>
        <v>15700</v>
      </c>
    </row>
    <row r="6" spans="1:39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8">
        <v>11</v>
      </c>
      <c r="J6" s="18">
        <v>11</v>
      </c>
      <c r="K6" s="18">
        <v>11</v>
      </c>
      <c r="L6" s="18">
        <v>11</v>
      </c>
      <c r="M6" s="18">
        <v>8</v>
      </c>
      <c r="N6" s="18">
        <v>8</v>
      </c>
      <c r="O6" s="25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92">
        <v>9.5</v>
      </c>
      <c r="X6" s="192">
        <v>9.5</v>
      </c>
      <c r="Y6" s="192">
        <v>9.5</v>
      </c>
      <c r="Z6" s="192">
        <v>9.5</v>
      </c>
      <c r="AA6" s="192">
        <v>9.5</v>
      </c>
      <c r="AB6" s="192">
        <v>9.5</v>
      </c>
      <c r="AC6" s="193"/>
      <c r="AD6" s="192">
        <v>9.5</v>
      </c>
      <c r="AE6" s="192">
        <v>9.5</v>
      </c>
      <c r="AF6" s="192">
        <v>9.5</v>
      </c>
      <c r="AG6" s="192">
        <v>9.5</v>
      </c>
      <c r="AH6" s="18">
        <v>8</v>
      </c>
      <c r="AI6" s="18">
        <v>8</v>
      </c>
      <c r="AJ6" s="25"/>
      <c r="AK6" s="18">
        <v>8</v>
      </c>
      <c r="AL6" s="18">
        <v>8</v>
      </c>
    </row>
    <row r="7" spans="1:39" s="17" customFormat="1" ht="16.5" customHeight="1">
      <c r="A7" s="2" t="s">
        <v>19</v>
      </c>
      <c r="B7" s="41"/>
      <c r="C7" s="41"/>
      <c r="D7" s="41"/>
      <c r="E7" s="41"/>
      <c r="F7" s="41"/>
      <c r="G7" s="41" t="s">
        <v>347</v>
      </c>
      <c r="H7" s="25"/>
      <c r="I7" s="41"/>
      <c r="J7" s="41"/>
      <c r="K7" s="41"/>
      <c r="L7" s="41" t="s">
        <v>1247</v>
      </c>
      <c r="M7" s="41"/>
      <c r="N7" s="41"/>
      <c r="O7" s="25"/>
      <c r="P7" s="41" t="s">
        <v>347</v>
      </c>
      <c r="Q7" s="41"/>
      <c r="R7" s="41"/>
      <c r="S7" s="41"/>
      <c r="T7" s="41" t="s">
        <v>347</v>
      </c>
      <c r="U7" s="41"/>
      <c r="V7" s="25"/>
      <c r="W7" s="41"/>
      <c r="X7" s="41" t="s">
        <v>347</v>
      </c>
      <c r="Y7" s="41"/>
      <c r="Z7" s="41"/>
      <c r="AA7" s="41"/>
      <c r="AB7" s="41"/>
      <c r="AC7" s="25"/>
      <c r="AD7" s="41"/>
      <c r="AE7" s="41"/>
      <c r="AF7" s="41"/>
      <c r="AG7" s="41"/>
      <c r="AH7" s="41"/>
      <c r="AI7" s="41"/>
      <c r="AJ7" s="25"/>
      <c r="AK7" s="41"/>
      <c r="AL7" s="60"/>
    </row>
    <row r="8" spans="1:39" s="17" customFormat="1" ht="16.5" customHeight="1">
      <c r="A8" s="2" t="s">
        <v>20</v>
      </c>
      <c r="B8" s="20"/>
      <c r="C8" s="20"/>
      <c r="D8" s="20"/>
      <c r="E8" s="20"/>
      <c r="F8" s="20"/>
      <c r="G8" s="20"/>
      <c r="H8" s="25"/>
      <c r="I8" s="20"/>
      <c r="J8" s="20"/>
      <c r="K8" s="20"/>
      <c r="L8" s="82">
        <v>0.9</v>
      </c>
      <c r="M8" s="20"/>
      <c r="N8" s="20"/>
      <c r="O8" s="25"/>
      <c r="P8" s="20"/>
      <c r="Q8" s="20"/>
      <c r="R8" s="20"/>
      <c r="S8" s="20"/>
      <c r="T8" s="20">
        <v>0.9</v>
      </c>
      <c r="U8" s="20"/>
      <c r="V8" s="25"/>
      <c r="W8" s="20"/>
      <c r="X8" s="20">
        <v>0.9</v>
      </c>
      <c r="Y8" s="20"/>
      <c r="Z8" s="20"/>
      <c r="AA8" s="20"/>
      <c r="AB8" s="20"/>
      <c r="AC8" s="25"/>
      <c r="AD8" s="20"/>
      <c r="AE8" s="20"/>
      <c r="AF8" s="20"/>
      <c r="AG8" s="20"/>
      <c r="AH8" s="20"/>
      <c r="AI8" s="20"/>
      <c r="AJ8" s="25"/>
      <c r="AK8" s="20"/>
      <c r="AL8" s="60"/>
    </row>
    <row r="9" spans="1:39" s="11" customFormat="1" ht="16.5" customHeight="1">
      <c r="A9" s="229" t="s">
        <v>38</v>
      </c>
      <c r="B9" s="46"/>
      <c r="C9" s="49"/>
      <c r="D9" s="40"/>
      <c r="F9" s="40"/>
      <c r="G9" s="50" t="s">
        <v>1532</v>
      </c>
      <c r="H9" s="48"/>
      <c r="I9" s="40"/>
      <c r="K9" s="50"/>
      <c r="L9" s="42" t="s">
        <v>246</v>
      </c>
      <c r="M9" s="40"/>
      <c r="N9" s="47"/>
      <c r="O9" s="48"/>
      <c r="P9" s="40"/>
      <c r="S9" s="40"/>
      <c r="T9" s="42" t="s">
        <v>246</v>
      </c>
      <c r="U9" s="40"/>
      <c r="V9" s="48"/>
      <c r="W9" s="40"/>
      <c r="X9" s="50"/>
      <c r="Z9" s="40"/>
      <c r="AA9" s="40"/>
      <c r="AB9" s="40"/>
      <c r="AC9" s="48"/>
      <c r="AD9" s="40"/>
      <c r="AE9" s="52"/>
      <c r="AF9" s="40"/>
      <c r="AG9" s="40"/>
      <c r="AH9" s="54"/>
      <c r="AJ9" s="48"/>
      <c r="AK9" s="62"/>
      <c r="AL9" s="61"/>
    </row>
    <row r="10" spans="1:39" s="11" customFormat="1" ht="16.5" customHeight="1">
      <c r="A10" s="230"/>
      <c r="B10" s="22"/>
      <c r="C10" s="22"/>
      <c r="D10" s="40"/>
      <c r="E10" s="40"/>
      <c r="F10" s="40"/>
      <c r="G10" s="163" t="s">
        <v>1533</v>
      </c>
      <c r="H10" s="48"/>
      <c r="I10" s="40"/>
      <c r="J10" s="40"/>
      <c r="K10" s="22"/>
      <c r="L10" s="22" t="s">
        <v>247</v>
      </c>
      <c r="M10" s="40"/>
      <c r="N10" s="21"/>
      <c r="O10" s="48"/>
      <c r="P10" s="40"/>
      <c r="Q10" s="40"/>
      <c r="R10" s="40"/>
      <c r="S10" s="40"/>
      <c r="T10" s="22" t="s">
        <v>461</v>
      </c>
      <c r="U10" s="40"/>
      <c r="V10" s="48"/>
      <c r="W10" s="40"/>
      <c r="X10" s="40"/>
      <c r="Y10" s="40"/>
      <c r="Z10" s="40"/>
      <c r="AA10" s="40"/>
      <c r="AB10" s="40"/>
      <c r="AC10" s="48"/>
      <c r="AD10" s="40"/>
      <c r="AE10" s="40"/>
      <c r="AF10" s="40"/>
      <c r="AG10" s="40"/>
      <c r="AH10" s="100"/>
      <c r="AI10" s="40"/>
      <c r="AJ10" s="48"/>
      <c r="AK10" s="58"/>
      <c r="AL10" s="61"/>
    </row>
    <row r="11" spans="1:39" s="11" customFormat="1" ht="16.5" customHeight="1">
      <c r="A11" s="230"/>
      <c r="B11" s="22"/>
      <c r="C11" s="22"/>
      <c r="D11" s="40"/>
      <c r="E11" s="40"/>
      <c r="F11" s="40"/>
      <c r="G11" s="195" t="s">
        <v>1647</v>
      </c>
      <c r="H11" s="48"/>
      <c r="I11" s="40"/>
      <c r="J11" s="40"/>
      <c r="K11" s="22"/>
      <c r="L11" s="22" t="s">
        <v>248</v>
      </c>
      <c r="M11" s="40"/>
      <c r="N11" s="21"/>
      <c r="O11" s="48"/>
      <c r="P11" s="40"/>
      <c r="Q11" s="40"/>
      <c r="R11" s="40"/>
      <c r="S11" s="40"/>
      <c r="T11" s="22" t="s">
        <v>462</v>
      </c>
      <c r="U11" s="40"/>
      <c r="V11" s="48"/>
      <c r="W11" s="40"/>
      <c r="X11" s="40"/>
      <c r="Y11" s="40"/>
      <c r="Z11" s="40"/>
      <c r="AA11" s="40"/>
      <c r="AB11" s="40"/>
      <c r="AC11" s="48"/>
      <c r="AD11" s="40"/>
      <c r="AE11" s="40"/>
      <c r="AF11" s="40"/>
      <c r="AG11" s="40"/>
      <c r="AH11" s="195"/>
      <c r="AI11" s="40"/>
      <c r="AJ11" s="48"/>
      <c r="AK11" s="58"/>
      <c r="AL11" s="61"/>
    </row>
    <row r="12" spans="1:39" s="11" customFormat="1" ht="16.5" customHeight="1">
      <c r="A12" s="230"/>
      <c r="B12" s="22"/>
      <c r="C12" s="55"/>
      <c r="D12" s="40"/>
      <c r="E12" s="40"/>
      <c r="F12" s="40"/>
      <c r="G12" s="213" t="s">
        <v>1384</v>
      </c>
      <c r="H12" s="48"/>
      <c r="I12" s="40"/>
      <c r="J12" s="40"/>
      <c r="K12" s="22"/>
      <c r="L12" s="22" t="s">
        <v>249</v>
      </c>
      <c r="M12" s="40"/>
      <c r="N12" s="21"/>
      <c r="O12" s="48"/>
      <c r="P12" s="40"/>
      <c r="Q12" s="40"/>
      <c r="R12" s="40"/>
      <c r="S12" s="40"/>
      <c r="T12" s="22" t="s">
        <v>460</v>
      </c>
      <c r="U12" s="40"/>
      <c r="V12" s="48"/>
      <c r="W12" s="40"/>
      <c r="X12" s="40"/>
      <c r="Y12" s="40"/>
      <c r="Z12" s="40"/>
      <c r="AA12" s="40"/>
      <c r="AB12" s="40"/>
      <c r="AC12" s="48"/>
      <c r="AD12" s="40"/>
      <c r="AE12" s="40"/>
      <c r="AF12" s="40"/>
      <c r="AH12" s="100"/>
      <c r="AI12" s="40"/>
      <c r="AJ12" s="48"/>
      <c r="AK12" s="58"/>
      <c r="AL12" s="61"/>
    </row>
    <row r="13" spans="1:39" s="11" customFormat="1" ht="17.5">
      <c r="A13" s="230"/>
      <c r="B13" s="22"/>
      <c r="C13" s="22"/>
      <c r="D13" s="40"/>
      <c r="E13" s="40"/>
      <c r="F13" s="40"/>
      <c r="H13" s="48"/>
      <c r="I13" s="40"/>
      <c r="J13" s="40"/>
      <c r="K13" s="53"/>
      <c r="L13" s="22" t="s">
        <v>250</v>
      </c>
      <c r="M13" s="40"/>
      <c r="N13" s="21"/>
      <c r="O13" s="48"/>
      <c r="P13" s="40"/>
      <c r="Q13" s="40"/>
      <c r="R13" s="40"/>
      <c r="S13" s="40"/>
      <c r="T13" s="22" t="s">
        <v>1050</v>
      </c>
      <c r="U13" s="40"/>
      <c r="V13" s="48"/>
      <c r="W13" s="40"/>
      <c r="X13" s="40"/>
      <c r="Y13" s="40"/>
      <c r="Z13" s="40"/>
      <c r="AA13" s="40"/>
      <c r="AB13" s="40"/>
      <c r="AC13" s="48"/>
      <c r="AD13" s="40"/>
      <c r="AE13" s="40"/>
      <c r="AF13" s="40"/>
      <c r="AG13" s="100"/>
      <c r="AI13" s="21"/>
      <c r="AJ13" s="48"/>
      <c r="AK13" s="58"/>
      <c r="AL13" s="61"/>
    </row>
    <row r="14" spans="1:39" s="11" customFormat="1" ht="16.5" customHeight="1">
      <c r="A14" s="230"/>
      <c r="B14" s="22"/>
      <c r="C14" s="22"/>
      <c r="D14" s="40"/>
      <c r="E14" s="40"/>
      <c r="F14" s="40"/>
      <c r="H14" s="48"/>
      <c r="I14" s="40"/>
      <c r="J14" s="40"/>
      <c r="K14" s="53"/>
      <c r="L14" s="22" t="s">
        <v>256</v>
      </c>
      <c r="M14" s="40"/>
      <c r="N14" s="21"/>
      <c r="O14" s="48"/>
      <c r="P14" s="40"/>
      <c r="Q14" s="40"/>
      <c r="R14" s="40"/>
      <c r="S14" s="40"/>
      <c r="T14" s="52" t="s">
        <v>360</v>
      </c>
      <c r="U14" s="40"/>
      <c r="V14" s="48"/>
      <c r="W14" s="40"/>
      <c r="X14" s="40"/>
      <c r="Y14" s="40"/>
      <c r="Z14" s="40"/>
      <c r="AA14" s="40"/>
      <c r="AB14" s="40"/>
      <c r="AC14" s="48"/>
      <c r="AD14" s="40"/>
      <c r="AE14" s="40"/>
      <c r="AF14" s="40"/>
      <c r="AG14" s="40"/>
      <c r="AH14" s="21"/>
      <c r="AI14" s="21"/>
      <c r="AJ14" s="48"/>
      <c r="AK14" s="58"/>
      <c r="AL14" s="61"/>
    </row>
    <row r="15" spans="1:39" s="11" customFormat="1" ht="16.5" customHeight="1">
      <c r="A15" s="230"/>
      <c r="B15" s="22"/>
      <c r="C15" s="22"/>
      <c r="D15" s="40"/>
      <c r="E15" s="40"/>
      <c r="F15" s="40"/>
      <c r="H15" s="48"/>
      <c r="I15" s="40"/>
      <c r="J15" s="40"/>
      <c r="K15" s="53"/>
      <c r="L15" s="22" t="s">
        <v>251</v>
      </c>
      <c r="M15" s="40"/>
      <c r="N15" s="21"/>
      <c r="O15" s="48"/>
      <c r="P15" s="40"/>
      <c r="Q15" s="40"/>
      <c r="R15" s="40"/>
      <c r="S15" s="40"/>
      <c r="T15" s="22" t="s">
        <v>363</v>
      </c>
      <c r="U15" s="40"/>
      <c r="V15" s="48"/>
      <c r="W15" s="40"/>
      <c r="X15" s="40"/>
      <c r="Y15" s="40"/>
      <c r="Z15" s="40"/>
      <c r="AA15" s="40"/>
      <c r="AB15" s="40"/>
      <c r="AC15" s="48"/>
      <c r="AD15" s="40"/>
      <c r="AE15" s="40"/>
      <c r="AF15" s="40"/>
      <c r="AG15" s="21"/>
      <c r="AH15" s="21"/>
      <c r="AI15" s="21"/>
      <c r="AJ15" s="48"/>
      <c r="AK15" s="58"/>
      <c r="AL15" s="61"/>
    </row>
    <row r="16" spans="1:39" s="11" customFormat="1" ht="16.5" customHeight="1">
      <c r="A16" s="230"/>
      <c r="B16" s="22"/>
      <c r="C16" s="22"/>
      <c r="D16" s="40"/>
      <c r="E16" s="40"/>
      <c r="F16" s="40"/>
      <c r="H16" s="48"/>
      <c r="I16" s="40"/>
      <c r="J16" s="40"/>
      <c r="K16" s="22"/>
      <c r="L16" s="22" t="s">
        <v>252</v>
      </c>
      <c r="M16" s="40"/>
      <c r="N16" s="21"/>
      <c r="O16" s="48"/>
      <c r="P16" s="40"/>
      <c r="Q16" s="40"/>
      <c r="R16" s="40"/>
      <c r="S16" s="40"/>
      <c r="T16" s="22" t="s">
        <v>1002</v>
      </c>
      <c r="U16" s="40"/>
      <c r="V16" s="48"/>
      <c r="W16" s="40"/>
      <c r="X16" s="40"/>
      <c r="Y16" s="40"/>
      <c r="Z16" s="40"/>
      <c r="AA16" s="40"/>
      <c r="AB16" s="40"/>
      <c r="AC16" s="48"/>
      <c r="AD16" s="40"/>
      <c r="AE16" s="40"/>
      <c r="AF16" s="40"/>
      <c r="AG16" s="21"/>
      <c r="AH16" s="22"/>
      <c r="AI16" s="21"/>
      <c r="AJ16" s="48"/>
      <c r="AK16" s="58"/>
      <c r="AL16" s="61"/>
    </row>
    <row r="17" spans="1:39" s="11" customFormat="1" ht="16.5" customHeight="1">
      <c r="A17" s="230"/>
      <c r="B17" s="22"/>
      <c r="C17" s="22"/>
      <c r="D17" s="40"/>
      <c r="E17" s="40"/>
      <c r="F17" s="40"/>
      <c r="G17" s="40"/>
      <c r="H17" s="48"/>
      <c r="I17" s="40"/>
      <c r="J17" s="40"/>
      <c r="K17" s="53"/>
      <c r="L17" s="22" t="s">
        <v>253</v>
      </c>
      <c r="M17" s="40"/>
      <c r="N17" s="21"/>
      <c r="O17" s="48"/>
      <c r="P17" s="40"/>
      <c r="Q17" s="40"/>
      <c r="R17" s="40"/>
      <c r="S17" s="40"/>
      <c r="T17" s="22" t="s">
        <v>1003</v>
      </c>
      <c r="U17" s="40"/>
      <c r="V17" s="48"/>
      <c r="W17" s="21"/>
      <c r="X17" s="40"/>
      <c r="Y17" s="40"/>
      <c r="Z17" s="40"/>
      <c r="AA17" s="40"/>
      <c r="AB17" s="40"/>
      <c r="AC17" s="48"/>
      <c r="AD17" s="40"/>
      <c r="AE17" s="40"/>
      <c r="AF17" s="40"/>
      <c r="AG17" s="21"/>
      <c r="AH17" s="40"/>
      <c r="AI17" s="21"/>
      <c r="AJ17" s="48"/>
      <c r="AL17" s="61"/>
    </row>
    <row r="18" spans="1:39" s="11" customFormat="1" ht="16.5" customHeight="1">
      <c r="A18" s="230"/>
      <c r="B18" s="91"/>
      <c r="C18" s="22"/>
      <c r="D18" s="40"/>
      <c r="E18" s="40"/>
      <c r="F18" s="40"/>
      <c r="H18" s="48"/>
      <c r="I18" s="40"/>
      <c r="J18" s="40"/>
      <c r="K18" s="53"/>
      <c r="L18" s="22" t="s">
        <v>254</v>
      </c>
      <c r="M18" s="40"/>
      <c r="N18" s="21"/>
      <c r="O18" s="48"/>
      <c r="P18" s="40"/>
      <c r="Q18" s="40"/>
      <c r="R18" s="40"/>
      <c r="S18" s="40"/>
      <c r="T18" s="22" t="s">
        <v>1000</v>
      </c>
      <c r="U18" s="40"/>
      <c r="V18" s="48"/>
      <c r="W18" s="21"/>
      <c r="X18" s="40"/>
      <c r="Y18" s="40"/>
      <c r="Z18" s="40"/>
      <c r="AA18" s="40"/>
      <c r="AB18" s="40"/>
      <c r="AC18" s="48"/>
      <c r="AD18" s="40"/>
      <c r="AE18" s="40"/>
      <c r="AF18" s="40"/>
      <c r="AG18" s="21"/>
      <c r="AH18" s="22"/>
      <c r="AI18" s="21"/>
      <c r="AJ18" s="48"/>
      <c r="AK18" s="58"/>
      <c r="AL18" s="61"/>
    </row>
    <row r="19" spans="1:39" s="11" customFormat="1" ht="16.5" customHeight="1">
      <c r="A19" s="230"/>
      <c r="B19" s="91"/>
      <c r="C19" s="22"/>
      <c r="D19" s="40"/>
      <c r="E19" s="40"/>
      <c r="F19" s="40"/>
      <c r="H19" s="48"/>
      <c r="I19" s="40"/>
      <c r="J19" s="40"/>
      <c r="K19" s="53"/>
      <c r="L19" s="22" t="s">
        <v>255</v>
      </c>
      <c r="M19" s="40"/>
      <c r="N19" s="21"/>
      <c r="O19" s="48"/>
      <c r="P19" s="40"/>
      <c r="Q19" s="40"/>
      <c r="R19" s="40"/>
      <c r="S19" s="40"/>
      <c r="T19" s="22" t="s">
        <v>1001</v>
      </c>
      <c r="U19" s="40"/>
      <c r="V19" s="48"/>
      <c r="W19" s="21"/>
      <c r="X19" s="40"/>
      <c r="Y19" s="40"/>
      <c r="Z19" s="40"/>
      <c r="AA19" s="40"/>
      <c r="AB19" s="40"/>
      <c r="AC19" s="48"/>
      <c r="AD19" s="40"/>
      <c r="AE19" s="40"/>
      <c r="AF19" s="40"/>
      <c r="AG19" s="21"/>
      <c r="AH19" s="91"/>
      <c r="AI19" s="21"/>
      <c r="AJ19" s="48"/>
      <c r="AK19" s="156"/>
      <c r="AL19" s="61"/>
    </row>
    <row r="20" spans="1:39" s="11" customFormat="1" ht="16.5" customHeight="1">
      <c r="A20" s="230"/>
      <c r="B20" s="91"/>
      <c r="C20" s="22"/>
      <c r="D20" s="40"/>
      <c r="E20" s="40"/>
      <c r="F20" s="40"/>
      <c r="H20" s="48"/>
      <c r="I20" s="40"/>
      <c r="J20" s="40"/>
      <c r="K20" s="22"/>
      <c r="L20" s="42" t="s">
        <v>463</v>
      </c>
      <c r="M20" s="40"/>
      <c r="N20" s="21"/>
      <c r="O20" s="48"/>
      <c r="P20" s="40"/>
      <c r="Q20" s="40"/>
      <c r="R20" s="40"/>
      <c r="S20" s="40"/>
      <c r="T20" s="105"/>
      <c r="U20" s="40"/>
      <c r="V20" s="48"/>
      <c r="W20" s="21"/>
      <c r="X20" s="40"/>
      <c r="Y20" s="40"/>
      <c r="Z20" s="40"/>
      <c r="AA20" s="40"/>
      <c r="AB20" s="21"/>
      <c r="AC20" s="48"/>
      <c r="AD20" s="40"/>
      <c r="AE20" s="100"/>
      <c r="AF20" s="40"/>
      <c r="AG20" s="40"/>
      <c r="AH20" s="91"/>
      <c r="AI20" s="40"/>
      <c r="AJ20" s="231">
        <f>+SUM(B28:AL28)</f>
        <v>15369</v>
      </c>
      <c r="AK20" s="232"/>
      <c r="AL20" s="23" t="s">
        <v>1</v>
      </c>
    </row>
    <row r="21" spans="1:39" s="11" customFormat="1" ht="16.5" customHeight="1">
      <c r="A21" s="230"/>
      <c r="B21" s="91"/>
      <c r="C21" s="22"/>
      <c r="D21" s="40"/>
      <c r="E21" s="40"/>
      <c r="F21" s="40"/>
      <c r="G21" s="40"/>
      <c r="H21" s="48"/>
      <c r="I21" s="40"/>
      <c r="J21" s="40"/>
      <c r="K21" s="22"/>
      <c r="L21" s="22" t="s">
        <v>468</v>
      </c>
      <c r="M21" s="40"/>
      <c r="N21" s="21"/>
      <c r="O21" s="48"/>
      <c r="P21" s="40"/>
      <c r="Q21" s="40"/>
      <c r="R21" s="40"/>
      <c r="S21" s="40"/>
      <c r="T21" s="40"/>
      <c r="U21" s="21"/>
      <c r="V21" s="48"/>
      <c r="W21" s="21"/>
      <c r="X21" s="40"/>
      <c r="Y21" s="40"/>
      <c r="Z21" s="40"/>
      <c r="AA21" s="40"/>
      <c r="AB21" s="40"/>
      <c r="AC21" s="48"/>
      <c r="AD21" s="40"/>
      <c r="AE21" s="40"/>
      <c r="AF21" s="40"/>
      <c r="AG21" s="40"/>
      <c r="AH21" s="91"/>
      <c r="AI21" s="40"/>
      <c r="AJ21" s="48"/>
      <c r="AK21" s="156"/>
      <c r="AL21" s="61"/>
    </row>
    <row r="22" spans="1:39" s="11" customFormat="1" ht="16.5" customHeight="1">
      <c r="A22" s="230"/>
      <c r="B22" s="91"/>
      <c r="C22" s="22"/>
      <c r="D22" s="40"/>
      <c r="E22" s="40"/>
      <c r="F22" s="40"/>
      <c r="G22" s="40"/>
      <c r="H22" s="48"/>
      <c r="I22" s="40"/>
      <c r="J22" s="40"/>
      <c r="K22" s="22"/>
      <c r="L22" s="22" t="s">
        <v>469</v>
      </c>
      <c r="M22" s="40"/>
      <c r="N22" s="21"/>
      <c r="O22" s="48"/>
      <c r="P22" s="40"/>
      <c r="Q22" s="40"/>
      <c r="R22" s="40"/>
      <c r="S22" s="40"/>
      <c r="T22" s="40"/>
      <c r="U22" s="21"/>
      <c r="V22" s="48"/>
      <c r="W22" s="21"/>
      <c r="X22" s="40"/>
      <c r="Y22" s="40"/>
      <c r="Z22" s="40"/>
      <c r="AA22" s="40"/>
      <c r="AB22" s="21"/>
      <c r="AC22" s="48"/>
      <c r="AD22" s="40"/>
      <c r="AE22" s="40"/>
      <c r="AF22" s="40"/>
      <c r="AG22" s="40"/>
      <c r="AH22" s="91"/>
      <c r="AI22" s="40"/>
      <c r="AJ22" s="48"/>
      <c r="AK22" s="156"/>
      <c r="AL22" s="61"/>
    </row>
    <row r="23" spans="1:39" s="11" customFormat="1" ht="16.5" customHeight="1">
      <c r="A23" s="230"/>
      <c r="B23" s="91"/>
      <c r="C23" s="22"/>
      <c r="D23" s="40"/>
      <c r="E23" s="40"/>
      <c r="F23" s="40"/>
      <c r="G23" s="40"/>
      <c r="H23" s="48"/>
      <c r="I23" s="40"/>
      <c r="J23" s="40"/>
      <c r="K23" s="22"/>
      <c r="L23" s="22" t="s">
        <v>464</v>
      </c>
      <c r="M23" s="40"/>
      <c r="N23" s="21"/>
      <c r="O23" s="48"/>
      <c r="P23" s="40"/>
      <c r="Q23" s="40"/>
      <c r="R23" s="40"/>
      <c r="S23" s="40"/>
      <c r="T23" s="40"/>
      <c r="U23" s="21"/>
      <c r="V23" s="48"/>
      <c r="W23" s="21"/>
      <c r="X23" s="40"/>
      <c r="Y23" s="40"/>
      <c r="Z23" s="40"/>
      <c r="AA23" s="40"/>
      <c r="AB23" s="21"/>
      <c r="AC23" s="48"/>
      <c r="AD23" s="40"/>
      <c r="AE23" s="40"/>
      <c r="AF23" s="40"/>
      <c r="AG23" s="40"/>
      <c r="AH23" s="91"/>
      <c r="AI23" s="40"/>
      <c r="AJ23" s="48"/>
      <c r="AK23" s="156"/>
      <c r="AL23" s="61"/>
    </row>
    <row r="24" spans="1:39" s="11" customFormat="1" ht="16.5" customHeight="1">
      <c r="A24" s="230"/>
      <c r="B24" s="91"/>
      <c r="C24" s="22"/>
      <c r="D24" s="40"/>
      <c r="E24" s="40"/>
      <c r="F24" s="40"/>
      <c r="G24" s="40"/>
      <c r="H24" s="48"/>
      <c r="I24" s="40"/>
      <c r="J24" s="40"/>
      <c r="K24" s="22"/>
      <c r="L24" s="22" t="s">
        <v>465</v>
      </c>
      <c r="M24" s="40"/>
      <c r="N24" s="21"/>
      <c r="O24" s="48"/>
      <c r="P24" s="40"/>
      <c r="Q24" s="40"/>
      <c r="R24" s="40"/>
      <c r="S24" s="40"/>
      <c r="T24" s="40"/>
      <c r="U24" s="21"/>
      <c r="V24" s="48"/>
      <c r="W24" s="21"/>
      <c r="X24" s="40"/>
      <c r="Y24" s="40"/>
      <c r="Z24" s="40"/>
      <c r="AA24" s="40"/>
      <c r="AB24" s="21"/>
      <c r="AC24" s="48"/>
      <c r="AD24" s="40"/>
      <c r="AE24" s="40"/>
      <c r="AF24" s="40"/>
      <c r="AG24" s="40"/>
      <c r="AH24" s="91"/>
      <c r="AI24" s="40"/>
      <c r="AJ24" s="48"/>
      <c r="AK24" s="156"/>
      <c r="AL24" s="61"/>
    </row>
    <row r="25" spans="1:39" s="11" customFormat="1" ht="16.5" customHeight="1">
      <c r="A25" s="230"/>
      <c r="B25" s="91"/>
      <c r="C25" s="22"/>
      <c r="D25" s="40"/>
      <c r="E25" s="40"/>
      <c r="F25" s="40"/>
      <c r="G25" s="40"/>
      <c r="H25" s="48"/>
      <c r="I25" s="21"/>
      <c r="J25" s="40"/>
      <c r="K25" s="40"/>
      <c r="L25" s="22" t="s">
        <v>466</v>
      </c>
      <c r="M25" s="40"/>
      <c r="N25" s="21"/>
      <c r="O25" s="48"/>
      <c r="P25" s="40"/>
      <c r="Q25" s="40"/>
      <c r="R25" s="22"/>
      <c r="S25" s="40"/>
      <c r="T25" s="40"/>
      <c r="U25" s="21"/>
      <c r="V25" s="48"/>
      <c r="W25" s="21"/>
      <c r="X25" s="40"/>
      <c r="Y25" s="40"/>
      <c r="Z25" s="40"/>
      <c r="AA25" s="40"/>
      <c r="AB25" s="21"/>
      <c r="AC25" s="48"/>
      <c r="AD25" s="40"/>
      <c r="AE25" s="40"/>
      <c r="AF25" s="40"/>
      <c r="AG25" s="40"/>
      <c r="AH25" s="91"/>
      <c r="AI25" s="40"/>
      <c r="AJ25" s="48"/>
      <c r="AK25" s="156"/>
      <c r="AL25" s="61"/>
    </row>
    <row r="26" spans="1:39" s="11" customFormat="1" ht="16.5" customHeight="1">
      <c r="A26" s="230"/>
      <c r="B26" s="91"/>
      <c r="C26" s="22"/>
      <c r="D26" s="40"/>
      <c r="E26" s="40"/>
      <c r="F26" s="40"/>
      <c r="G26" s="40"/>
      <c r="H26" s="48"/>
      <c r="I26" s="21"/>
      <c r="J26" s="40"/>
      <c r="K26" s="40"/>
      <c r="L26" s="22" t="s">
        <v>467</v>
      </c>
      <c r="M26" s="40"/>
      <c r="N26" s="21"/>
      <c r="O26" s="48"/>
      <c r="P26" s="40"/>
      <c r="Q26" s="40"/>
      <c r="R26" s="22"/>
      <c r="S26" s="40"/>
      <c r="T26" s="40"/>
      <c r="U26" s="21"/>
      <c r="V26" s="48"/>
      <c r="W26" s="21"/>
      <c r="X26" s="40"/>
      <c r="Y26" s="40"/>
      <c r="Z26" s="40"/>
      <c r="AA26" s="40"/>
      <c r="AB26" s="21"/>
      <c r="AC26" s="48"/>
      <c r="AD26" s="40"/>
      <c r="AE26" s="40"/>
      <c r="AF26" s="40"/>
      <c r="AG26" s="40"/>
      <c r="AH26" s="91"/>
      <c r="AI26" s="40"/>
      <c r="AJ26" s="48"/>
      <c r="AK26" s="156"/>
      <c r="AL26" s="61"/>
    </row>
    <row r="27" spans="1:39" s="11" customFormat="1" ht="16.5" customHeight="1">
      <c r="A27" s="230"/>
      <c r="B27" s="91"/>
      <c r="C27" s="22"/>
      <c r="D27" s="40"/>
      <c r="E27" s="40"/>
      <c r="F27" s="40"/>
      <c r="G27" s="40"/>
      <c r="H27" s="48"/>
      <c r="I27" s="21"/>
      <c r="J27" s="40"/>
      <c r="K27" s="40"/>
      <c r="L27" s="22" t="s">
        <v>470</v>
      </c>
      <c r="M27" s="40"/>
      <c r="N27" s="21"/>
      <c r="O27" s="48"/>
      <c r="P27" s="40"/>
      <c r="Q27" s="40"/>
      <c r="R27" s="22"/>
      <c r="S27" s="40"/>
      <c r="T27" s="40"/>
      <c r="U27" s="21"/>
      <c r="V27" s="48"/>
      <c r="W27" s="21"/>
      <c r="X27" s="40"/>
      <c r="Y27" s="40"/>
      <c r="Z27" s="40"/>
      <c r="AA27" s="40"/>
      <c r="AB27" s="21"/>
      <c r="AC27" s="48"/>
      <c r="AD27" s="40"/>
      <c r="AE27" s="40"/>
      <c r="AF27" s="40"/>
      <c r="AG27" s="40"/>
      <c r="AH27" s="91"/>
      <c r="AI27" s="40"/>
      <c r="AJ27" s="48"/>
      <c r="AK27" s="156"/>
      <c r="AL27" s="61"/>
    </row>
    <row r="28" spans="1:39" s="11" customFormat="1" ht="16.5" customHeight="1">
      <c r="A28" s="230"/>
      <c r="B28" s="24"/>
      <c r="C28" s="56"/>
      <c r="D28" s="24"/>
      <c r="E28" s="56"/>
      <c r="F28" s="24"/>
      <c r="G28" s="233">
        <f>350+2500</f>
        <v>2850</v>
      </c>
      <c r="H28" s="234"/>
      <c r="I28" s="24"/>
      <c r="J28" s="56"/>
      <c r="K28" s="24"/>
      <c r="L28" s="233">
        <f>251+816+515+385+30+321+211+403+262+402+20+42+236+20+408+120+300</f>
        <v>4742</v>
      </c>
      <c r="M28" s="234"/>
      <c r="N28" s="56"/>
      <c r="O28" s="25"/>
      <c r="P28" s="56"/>
      <c r="Q28" s="56"/>
      <c r="R28" s="56"/>
      <c r="S28" s="56"/>
      <c r="T28" s="233">
        <f>390+917+390+2+752+415+1506+2909+496</f>
        <v>7777</v>
      </c>
      <c r="U28" s="234"/>
      <c r="V28" s="25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64"/>
    </row>
    <row r="29" spans="1:39" s="11" customFormat="1" ht="2.25" customHeight="1">
      <c r="A29" s="26"/>
      <c r="B29" s="27"/>
      <c r="C29" s="27"/>
      <c r="D29" s="27"/>
      <c r="E29" s="28"/>
      <c r="F29" s="27"/>
      <c r="G29" s="44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0"/>
    </row>
    <row r="30" spans="1:39" s="11" customFormat="1" ht="19.5" customHeight="1">
      <c r="A30" s="12" t="s">
        <v>0</v>
      </c>
      <c r="B30" s="16"/>
      <c r="C30" s="16"/>
      <c r="D30" s="16"/>
      <c r="E30" s="16"/>
      <c r="F30" s="16"/>
      <c r="G30" s="16">
        <v>920</v>
      </c>
      <c r="H30" s="25"/>
      <c r="I30" s="16">
        <v>560</v>
      </c>
      <c r="J30" s="16">
        <v>770</v>
      </c>
      <c r="K30" s="16">
        <v>770</v>
      </c>
      <c r="L30" s="51">
        <v>770</v>
      </c>
      <c r="M30" s="16">
        <v>770</v>
      </c>
      <c r="N30" s="16">
        <v>560</v>
      </c>
      <c r="O30" s="25"/>
      <c r="P30" s="16">
        <v>600</v>
      </c>
      <c r="Q30" s="51">
        <v>710</v>
      </c>
      <c r="R30" s="16">
        <v>830</v>
      </c>
      <c r="S30" s="16">
        <v>710</v>
      </c>
      <c r="T30" s="16">
        <v>830</v>
      </c>
      <c r="U30" s="16">
        <v>710</v>
      </c>
      <c r="V30" s="25"/>
      <c r="W30" s="16">
        <v>710</v>
      </c>
      <c r="X30" s="51">
        <v>710</v>
      </c>
      <c r="Y30" s="16">
        <v>710</v>
      </c>
      <c r="Z30" s="16">
        <v>710</v>
      </c>
      <c r="AA30" s="16">
        <v>710</v>
      </c>
      <c r="AB30" s="16">
        <v>710</v>
      </c>
      <c r="AC30" s="25"/>
      <c r="AD30" s="16">
        <v>710</v>
      </c>
      <c r="AE30" s="16">
        <v>710</v>
      </c>
      <c r="AF30" s="16">
        <v>710</v>
      </c>
      <c r="AG30" s="16">
        <v>710</v>
      </c>
      <c r="AH30" s="16">
        <v>710</v>
      </c>
      <c r="AI30" s="93">
        <v>580</v>
      </c>
      <c r="AJ30" s="25"/>
      <c r="AK30" s="16">
        <v>640</v>
      </c>
      <c r="AL30" s="16">
        <v>640</v>
      </c>
      <c r="AM30" s="17">
        <f>+SUM(B30:AL30)</f>
        <v>19180</v>
      </c>
    </row>
    <row r="31" spans="1:39" s="17" customFormat="1" ht="19.5" customHeight="1">
      <c r="A31" s="12" t="s">
        <v>18</v>
      </c>
      <c r="B31" s="122">
        <v>11</v>
      </c>
      <c r="C31" s="122">
        <v>11</v>
      </c>
      <c r="D31" s="122">
        <v>11</v>
      </c>
      <c r="E31" s="122">
        <v>11</v>
      </c>
      <c r="F31" s="122">
        <v>8</v>
      </c>
      <c r="G31" s="122">
        <v>8</v>
      </c>
      <c r="H31" s="25"/>
      <c r="I31" s="18">
        <v>11</v>
      </c>
      <c r="J31" s="18">
        <v>11</v>
      </c>
      <c r="K31" s="18">
        <v>11</v>
      </c>
      <c r="L31" s="18">
        <v>11</v>
      </c>
      <c r="M31" s="18">
        <v>8</v>
      </c>
      <c r="N31" s="18">
        <v>8</v>
      </c>
      <c r="O31" s="25"/>
      <c r="P31" s="18">
        <v>9.5</v>
      </c>
      <c r="Q31" s="18">
        <v>11</v>
      </c>
      <c r="R31" s="18">
        <v>9.5</v>
      </c>
      <c r="S31" s="18">
        <v>11</v>
      </c>
      <c r="T31" s="18">
        <v>9.5</v>
      </c>
      <c r="U31" s="18">
        <v>9.5</v>
      </c>
      <c r="V31" s="25"/>
      <c r="W31" s="192">
        <v>9.5</v>
      </c>
      <c r="X31" s="192">
        <v>9.5</v>
      </c>
      <c r="Y31" s="192">
        <v>9.5</v>
      </c>
      <c r="Z31" s="192">
        <v>9.5</v>
      </c>
      <c r="AA31" s="192">
        <v>9.5</v>
      </c>
      <c r="AB31" s="192">
        <v>9.5</v>
      </c>
      <c r="AC31" s="193"/>
      <c r="AD31" s="192">
        <v>9.5</v>
      </c>
      <c r="AE31" s="192">
        <v>9.5</v>
      </c>
      <c r="AF31" s="192">
        <v>9.5</v>
      </c>
      <c r="AG31" s="192">
        <v>9.5</v>
      </c>
      <c r="AH31" s="18">
        <v>8</v>
      </c>
      <c r="AI31" s="18">
        <v>8</v>
      </c>
      <c r="AJ31" s="25"/>
      <c r="AK31" s="18">
        <v>8</v>
      </c>
      <c r="AL31" s="18">
        <v>8</v>
      </c>
    </row>
    <row r="32" spans="1:39" s="17" customFormat="1" ht="17.25" customHeight="1">
      <c r="A32" s="2" t="s">
        <v>19</v>
      </c>
      <c r="B32" s="41"/>
      <c r="C32" s="41"/>
      <c r="D32" s="41"/>
      <c r="E32" s="41"/>
      <c r="F32" s="41"/>
      <c r="G32" s="41" t="s">
        <v>1537</v>
      </c>
      <c r="H32" s="25"/>
      <c r="I32" s="41" t="s">
        <v>347</v>
      </c>
      <c r="J32" s="41"/>
      <c r="K32" s="41"/>
      <c r="L32" s="41"/>
      <c r="M32" s="41"/>
      <c r="N32" s="41"/>
      <c r="O32" s="25"/>
      <c r="P32" s="41" t="s">
        <v>294</v>
      </c>
      <c r="Q32" s="41"/>
      <c r="R32" s="41"/>
      <c r="S32" s="41"/>
      <c r="T32" s="41"/>
      <c r="U32" s="41"/>
      <c r="V32" s="25"/>
      <c r="W32" s="41"/>
      <c r="X32" s="41"/>
      <c r="Y32" s="41"/>
      <c r="Z32" s="41"/>
      <c r="AA32" s="41"/>
      <c r="AB32" s="41"/>
      <c r="AC32" s="25"/>
      <c r="AD32" s="41"/>
      <c r="AE32" s="41"/>
      <c r="AF32" s="41"/>
      <c r="AG32" s="41"/>
      <c r="AH32" s="41"/>
      <c r="AI32" s="41" t="s">
        <v>70</v>
      </c>
      <c r="AJ32" s="25"/>
      <c r="AK32" s="41"/>
      <c r="AL32" s="197"/>
    </row>
    <row r="33" spans="1:38" s="17" customFormat="1" ht="17.25" customHeight="1">
      <c r="A33" s="2" t="s">
        <v>20</v>
      </c>
      <c r="B33" s="20"/>
      <c r="C33" s="20"/>
      <c r="D33" s="20"/>
      <c r="E33" s="20"/>
      <c r="F33" s="20"/>
      <c r="G33" s="20"/>
      <c r="H33" s="25"/>
      <c r="I33" s="20"/>
      <c r="J33" s="20"/>
      <c r="K33" s="20"/>
      <c r="L33" s="20"/>
      <c r="M33" s="20"/>
      <c r="N33" s="20"/>
      <c r="O33" s="25"/>
      <c r="P33" s="20"/>
      <c r="Q33" s="20"/>
      <c r="R33" s="20"/>
      <c r="S33" s="20"/>
      <c r="T33" s="20"/>
      <c r="U33" s="20"/>
      <c r="V33" s="25"/>
      <c r="W33" s="20"/>
      <c r="X33" s="20"/>
      <c r="Y33" s="20"/>
      <c r="Z33" s="20"/>
      <c r="AA33" s="20"/>
      <c r="AB33" s="20"/>
      <c r="AC33" s="25"/>
      <c r="AD33" s="20"/>
      <c r="AE33" s="20"/>
      <c r="AF33" s="20"/>
      <c r="AG33" s="20"/>
      <c r="AH33" s="20"/>
      <c r="AI33" s="20">
        <v>0.9</v>
      </c>
      <c r="AJ33" s="25"/>
      <c r="AK33" s="20"/>
      <c r="AL33" s="197"/>
    </row>
    <row r="34" spans="1:38" s="11" customFormat="1" ht="16.5" customHeight="1">
      <c r="A34" s="229" t="s">
        <v>39</v>
      </c>
      <c r="B34" s="46"/>
      <c r="C34" s="49"/>
      <c r="D34" s="40"/>
      <c r="E34" s="47"/>
      <c r="F34" s="47"/>
      <c r="G34" s="50" t="s">
        <v>1532</v>
      </c>
      <c r="H34" s="48"/>
      <c r="J34" s="47"/>
      <c r="K34" s="50"/>
      <c r="L34" s="40"/>
      <c r="O34" s="48"/>
      <c r="P34" s="40"/>
      <c r="Q34" s="50" t="s">
        <v>815</v>
      </c>
      <c r="R34" s="40"/>
      <c r="S34" s="40"/>
      <c r="T34" s="40"/>
      <c r="U34" s="40"/>
      <c r="V34" s="48"/>
      <c r="W34" s="40"/>
      <c r="Y34" s="40"/>
      <c r="Z34" s="40"/>
      <c r="AC34" s="48"/>
      <c r="AD34" s="40"/>
      <c r="AE34" s="40"/>
      <c r="AF34" s="40"/>
      <c r="AG34" s="40"/>
      <c r="AH34" s="50" t="s">
        <v>409</v>
      </c>
      <c r="AJ34" s="48"/>
      <c r="AK34" s="62"/>
      <c r="AL34" s="61"/>
    </row>
    <row r="35" spans="1:38" s="11" customFormat="1" ht="16.5" customHeight="1">
      <c r="A35" s="230"/>
      <c r="B35" s="22"/>
      <c r="C35" s="22"/>
      <c r="D35" s="40"/>
      <c r="E35" s="21"/>
      <c r="F35" s="21"/>
      <c r="G35" s="163" t="s">
        <v>1533</v>
      </c>
      <c r="H35" s="48"/>
      <c r="I35" s="40"/>
      <c r="J35" s="21"/>
      <c r="K35" s="22"/>
      <c r="L35" s="40"/>
      <c r="N35" s="40"/>
      <c r="O35" s="48"/>
      <c r="P35" s="40"/>
      <c r="Q35" s="22" t="s">
        <v>857</v>
      </c>
      <c r="R35" s="40"/>
      <c r="S35" s="40"/>
      <c r="T35" s="40"/>
      <c r="U35" s="40"/>
      <c r="V35" s="48"/>
      <c r="W35" s="40"/>
      <c r="X35" s="40"/>
      <c r="Y35" s="40"/>
      <c r="Z35" s="40"/>
      <c r="AB35" s="40"/>
      <c r="AC35" s="48"/>
      <c r="AD35" s="40"/>
      <c r="AE35" s="40"/>
      <c r="AF35" s="40"/>
      <c r="AG35" s="40"/>
      <c r="AH35" s="53" t="s">
        <v>1249</v>
      </c>
      <c r="AI35" s="40"/>
      <c r="AJ35" s="48"/>
      <c r="AK35" s="58"/>
      <c r="AL35" s="61"/>
    </row>
    <row r="36" spans="1:38" s="11" customFormat="1" ht="16.5" customHeight="1">
      <c r="A36" s="230"/>
      <c r="B36" s="22"/>
      <c r="C36" s="22"/>
      <c r="D36" s="40"/>
      <c r="E36" s="21"/>
      <c r="F36" s="21"/>
      <c r="G36" s="195" t="s">
        <v>1648</v>
      </c>
      <c r="H36" s="48"/>
      <c r="I36" s="40"/>
      <c r="J36" s="21"/>
      <c r="K36" s="22"/>
      <c r="L36" s="40"/>
      <c r="N36" s="40"/>
      <c r="O36" s="48"/>
      <c r="P36" s="40"/>
      <c r="Q36" s="42" t="s">
        <v>788</v>
      </c>
      <c r="R36" s="40"/>
      <c r="S36" s="40"/>
      <c r="T36" s="40"/>
      <c r="U36" s="40"/>
      <c r="V36" s="48"/>
      <c r="W36" s="40"/>
      <c r="X36" s="40"/>
      <c r="Y36" s="40"/>
      <c r="Z36" s="40"/>
      <c r="AB36" s="40"/>
      <c r="AC36" s="48"/>
      <c r="AD36" s="40"/>
      <c r="AE36" s="40"/>
      <c r="AF36" s="40"/>
      <c r="AG36" s="40"/>
      <c r="AH36" s="53" t="s">
        <v>1250</v>
      </c>
      <c r="AI36" s="40"/>
      <c r="AJ36" s="48"/>
      <c r="AK36" s="58"/>
      <c r="AL36" s="61"/>
    </row>
    <row r="37" spans="1:38" s="11" customFormat="1" ht="16.5" customHeight="1">
      <c r="A37" s="230"/>
      <c r="B37" s="22"/>
      <c r="C37" s="55"/>
      <c r="D37" s="40"/>
      <c r="E37" s="40"/>
      <c r="F37" s="21"/>
      <c r="G37" s="213" t="s">
        <v>1384</v>
      </c>
      <c r="H37" s="48"/>
      <c r="I37" s="40"/>
      <c r="J37" s="21"/>
      <c r="K37" s="22"/>
      <c r="L37" s="40"/>
      <c r="N37" s="40"/>
      <c r="O37" s="48"/>
      <c r="P37" s="40"/>
      <c r="Q37" s="163" t="s">
        <v>1225</v>
      </c>
      <c r="R37" s="40"/>
      <c r="S37" s="40"/>
      <c r="T37" s="40"/>
      <c r="U37" s="40"/>
      <c r="V37" s="48"/>
      <c r="W37" s="40"/>
      <c r="X37" s="40"/>
      <c r="Z37" s="40"/>
      <c r="AB37" s="40"/>
      <c r="AC37" s="48"/>
      <c r="AD37" s="40"/>
      <c r="AE37" s="40"/>
      <c r="AF37" s="40"/>
      <c r="AG37" s="40"/>
      <c r="AH37" s="40"/>
      <c r="AI37" s="40"/>
      <c r="AJ37" s="48"/>
      <c r="AK37" s="58"/>
      <c r="AL37" s="61"/>
    </row>
    <row r="38" spans="1:38" s="11" customFormat="1" ht="16.5" customHeight="1">
      <c r="A38" s="230"/>
      <c r="B38" s="22"/>
      <c r="C38" s="22"/>
      <c r="D38" s="40"/>
      <c r="E38" s="40"/>
      <c r="F38" s="40"/>
      <c r="G38" s="42" t="s">
        <v>885</v>
      </c>
      <c r="H38" s="48"/>
      <c r="I38" s="40"/>
      <c r="J38" s="21"/>
      <c r="K38" s="53"/>
      <c r="L38" s="40"/>
      <c r="N38" s="40"/>
      <c r="O38" s="48"/>
      <c r="P38" s="40"/>
      <c r="Q38" s="42" t="s">
        <v>833</v>
      </c>
      <c r="R38" s="40"/>
      <c r="S38" s="40"/>
      <c r="T38" s="40"/>
      <c r="U38" s="40"/>
      <c r="V38" s="48"/>
      <c r="W38" s="40"/>
      <c r="X38" s="40"/>
      <c r="Z38" s="40"/>
      <c r="AA38" s="22"/>
      <c r="AB38" s="40"/>
      <c r="AC38" s="48"/>
      <c r="AD38" s="40"/>
      <c r="AE38" s="40"/>
      <c r="AF38" s="40"/>
      <c r="AG38" s="40"/>
      <c r="AH38" s="22"/>
      <c r="AI38" s="40"/>
      <c r="AJ38" s="48"/>
      <c r="AK38" s="58"/>
      <c r="AL38" s="61"/>
    </row>
    <row r="39" spans="1:38" s="11" customFormat="1" ht="16.5" customHeight="1">
      <c r="A39" s="230"/>
      <c r="B39" s="22"/>
      <c r="C39" s="22"/>
      <c r="D39" s="40"/>
      <c r="E39" s="40"/>
      <c r="F39" s="40"/>
      <c r="G39" s="171" t="s">
        <v>1501</v>
      </c>
      <c r="H39" s="48"/>
      <c r="I39" s="40"/>
      <c r="J39" s="21"/>
      <c r="K39" s="53"/>
      <c r="L39" s="40"/>
      <c r="N39" s="40"/>
      <c r="O39" s="48"/>
      <c r="P39" s="40"/>
      <c r="Q39" s="190" t="s">
        <v>1578</v>
      </c>
      <c r="R39" s="40"/>
      <c r="S39" s="40"/>
      <c r="T39" s="40"/>
      <c r="U39" s="40"/>
      <c r="V39" s="48"/>
      <c r="W39" s="40"/>
      <c r="X39" s="40"/>
      <c r="AA39" s="22"/>
      <c r="AB39" s="40"/>
      <c r="AC39" s="48"/>
      <c r="AD39" s="40"/>
      <c r="AE39" s="40"/>
      <c r="AF39" s="40"/>
      <c r="AG39" s="40"/>
      <c r="AH39" s="22"/>
      <c r="AI39" s="40"/>
      <c r="AJ39" s="48"/>
      <c r="AK39" s="58"/>
      <c r="AL39" s="61"/>
    </row>
    <row r="40" spans="1:38" s="11" customFormat="1" ht="16.5" customHeight="1">
      <c r="A40" s="230"/>
      <c r="B40" s="22"/>
      <c r="C40" s="40"/>
      <c r="D40" s="40"/>
      <c r="E40" s="21"/>
      <c r="F40" s="21"/>
      <c r="G40" s="195" t="s">
        <v>1365</v>
      </c>
      <c r="H40" s="48"/>
      <c r="I40" s="40"/>
      <c r="J40" s="21"/>
      <c r="K40" s="53"/>
      <c r="L40" s="40"/>
      <c r="N40" s="40"/>
      <c r="O40" s="48"/>
      <c r="P40" s="40"/>
      <c r="Q40" s="54" t="s">
        <v>788</v>
      </c>
      <c r="R40" s="40"/>
      <c r="S40" s="40"/>
      <c r="T40" s="40"/>
      <c r="U40" s="40"/>
      <c r="V40" s="48"/>
      <c r="W40" s="40"/>
      <c r="X40" s="40"/>
      <c r="AA40" s="40"/>
      <c r="AB40" s="40"/>
      <c r="AC40" s="48"/>
      <c r="AD40" s="40"/>
      <c r="AE40" s="40"/>
      <c r="AF40" s="40"/>
      <c r="AG40" s="40"/>
      <c r="AH40" s="40"/>
      <c r="AI40" s="21"/>
      <c r="AJ40" s="48"/>
      <c r="AK40" s="58"/>
      <c r="AL40" s="61"/>
    </row>
    <row r="41" spans="1:38" s="11" customFormat="1" ht="16.5" customHeight="1">
      <c r="A41" s="230"/>
      <c r="B41" s="91" t="s">
        <v>909</v>
      </c>
      <c r="C41" s="40"/>
      <c r="D41" s="40"/>
      <c r="E41" s="21"/>
      <c r="F41" s="21"/>
      <c r="G41" s="42" t="s">
        <v>1303</v>
      </c>
      <c r="H41" s="48"/>
      <c r="I41" s="40"/>
      <c r="J41" s="21"/>
      <c r="K41" s="53"/>
      <c r="L41" s="40"/>
      <c r="M41" s="40"/>
      <c r="N41" s="40"/>
      <c r="O41" s="48"/>
      <c r="P41" s="40"/>
      <c r="Q41" s="22" t="s">
        <v>1594</v>
      </c>
      <c r="R41" s="40"/>
      <c r="S41" s="40"/>
      <c r="T41" s="40"/>
      <c r="U41" s="40"/>
      <c r="V41" s="48"/>
      <c r="W41" s="40"/>
      <c r="X41" s="40"/>
      <c r="AA41" s="40"/>
      <c r="AB41" s="40"/>
      <c r="AC41" s="48"/>
      <c r="AD41" s="40"/>
      <c r="AE41" s="40"/>
      <c r="AF41" s="40"/>
      <c r="AG41" s="40"/>
      <c r="AH41" s="40"/>
      <c r="AI41" s="21"/>
      <c r="AJ41" s="231">
        <f>+SUM(B50:AL50)</f>
        <v>22624</v>
      </c>
      <c r="AK41" s="232"/>
      <c r="AL41" s="23" t="s">
        <v>1</v>
      </c>
    </row>
    <row r="42" spans="1:38" s="11" customFormat="1" ht="16.5" customHeight="1">
      <c r="A42" s="230"/>
      <c r="B42" s="22"/>
      <c r="C42" s="40"/>
      <c r="D42" s="40"/>
      <c r="E42" s="21"/>
      <c r="F42" s="21"/>
      <c r="G42" s="208" t="s">
        <v>1646</v>
      </c>
      <c r="H42" s="48"/>
      <c r="I42" s="40"/>
      <c r="J42" s="40"/>
      <c r="K42" s="53"/>
      <c r="L42" s="40"/>
      <c r="M42" s="40"/>
      <c r="N42" s="40"/>
      <c r="O42" s="48"/>
      <c r="P42" s="40"/>
      <c r="Q42" s="22" t="s">
        <v>1595</v>
      </c>
      <c r="R42" s="40"/>
      <c r="S42" s="40"/>
      <c r="T42" s="50"/>
      <c r="U42" s="40"/>
      <c r="V42" s="48"/>
      <c r="W42" s="40"/>
      <c r="X42" s="40"/>
      <c r="AA42" s="40"/>
      <c r="AB42" s="40"/>
      <c r="AC42" s="48"/>
      <c r="AD42" s="40"/>
      <c r="AE42" s="40"/>
      <c r="AF42" s="40"/>
      <c r="AG42" s="40"/>
      <c r="AH42" s="40"/>
      <c r="AI42" s="21"/>
      <c r="AJ42" s="48"/>
      <c r="AK42" s="58"/>
      <c r="AL42" s="61"/>
    </row>
    <row r="43" spans="1:38" s="11" customFormat="1" ht="16.5" customHeight="1">
      <c r="A43" s="230"/>
      <c r="C43" s="40"/>
      <c r="D43" s="40"/>
      <c r="E43" s="21"/>
      <c r="F43" s="21"/>
      <c r="H43" s="48"/>
      <c r="I43" s="40"/>
      <c r="J43" s="40"/>
      <c r="K43" s="53"/>
      <c r="L43" s="40"/>
      <c r="N43" s="40"/>
      <c r="O43" s="48"/>
      <c r="P43" s="40"/>
      <c r="Q43" s="22" t="s">
        <v>1596</v>
      </c>
      <c r="R43" s="40"/>
      <c r="S43" s="40"/>
      <c r="T43" s="40"/>
      <c r="U43" s="40"/>
      <c r="V43" s="48"/>
      <c r="W43" s="40"/>
      <c r="X43" s="40"/>
      <c r="AA43" s="40"/>
      <c r="AB43" s="40"/>
      <c r="AC43" s="48"/>
      <c r="AD43" s="40"/>
      <c r="AE43" s="40"/>
      <c r="AF43" s="40"/>
      <c r="AG43" s="40"/>
      <c r="AH43" s="40"/>
      <c r="AI43" s="21"/>
      <c r="AJ43" s="48"/>
      <c r="AL43" s="61"/>
    </row>
    <row r="44" spans="1:38" s="11" customFormat="1" ht="16.5" customHeight="1">
      <c r="A44" s="230"/>
      <c r="B44" s="22"/>
      <c r="C44" s="40"/>
      <c r="D44" s="40"/>
      <c r="E44" s="21"/>
      <c r="F44" s="21"/>
      <c r="G44" s="21"/>
      <c r="H44" s="48"/>
      <c r="I44" s="40"/>
      <c r="J44" s="21"/>
      <c r="K44" s="53"/>
      <c r="L44" s="40"/>
      <c r="N44" s="40"/>
      <c r="O44" s="48"/>
      <c r="P44" s="40"/>
      <c r="Q44" s="22" t="s">
        <v>1598</v>
      </c>
      <c r="R44" s="40"/>
      <c r="S44" s="40"/>
      <c r="T44" s="40"/>
      <c r="U44" s="40"/>
      <c r="V44" s="48"/>
      <c r="W44" s="40"/>
      <c r="X44" s="40"/>
      <c r="Z44" s="22"/>
      <c r="AA44" s="40"/>
      <c r="AB44" s="40"/>
      <c r="AC44" s="48"/>
      <c r="AD44" s="40"/>
      <c r="AE44" s="40"/>
      <c r="AF44" s="40"/>
      <c r="AG44" s="40"/>
      <c r="AH44" s="40"/>
      <c r="AI44" s="21"/>
      <c r="AJ44" s="48"/>
      <c r="AK44" s="58"/>
      <c r="AL44" s="61"/>
    </row>
    <row r="45" spans="1:38" s="11" customFormat="1" ht="16.5" customHeight="1">
      <c r="A45" s="230"/>
      <c r="B45" s="22"/>
      <c r="C45" s="40"/>
      <c r="D45" s="40"/>
      <c r="E45" s="21"/>
      <c r="F45" s="21"/>
      <c r="G45" s="21"/>
      <c r="H45" s="48"/>
      <c r="I45" s="40"/>
      <c r="J45" s="21"/>
      <c r="K45" s="53"/>
      <c r="L45" s="40"/>
      <c r="M45" s="40"/>
      <c r="N45" s="40"/>
      <c r="O45" s="48"/>
      <c r="P45" s="40"/>
      <c r="Q45" s="22" t="s">
        <v>1599</v>
      </c>
      <c r="R45" s="40"/>
      <c r="S45" s="40"/>
      <c r="T45" s="40"/>
      <c r="U45" s="40"/>
      <c r="V45" s="48"/>
      <c r="W45" s="40"/>
      <c r="X45" s="40"/>
      <c r="Z45" s="40"/>
      <c r="AA45" s="40"/>
      <c r="AB45" s="40"/>
      <c r="AC45" s="48"/>
      <c r="AD45" s="40"/>
      <c r="AE45" s="40"/>
      <c r="AF45" s="40"/>
      <c r="AG45" s="40"/>
      <c r="AH45" s="40"/>
      <c r="AI45" s="21"/>
      <c r="AJ45" s="48"/>
      <c r="AK45" s="58"/>
      <c r="AL45" s="61"/>
    </row>
    <row r="46" spans="1:38" s="11" customFormat="1" ht="16.5" customHeight="1">
      <c r="A46" s="230"/>
      <c r="B46" s="22"/>
      <c r="C46" s="40"/>
      <c r="D46" s="40"/>
      <c r="E46" s="21"/>
      <c r="F46" s="21"/>
      <c r="G46" s="21"/>
      <c r="H46" s="48"/>
      <c r="I46" s="40"/>
      <c r="J46" s="21"/>
      <c r="K46" s="53"/>
      <c r="L46" s="40"/>
      <c r="M46" s="40"/>
      <c r="N46" s="40"/>
      <c r="O46" s="48"/>
      <c r="P46" s="40"/>
      <c r="Q46" s="22" t="s">
        <v>1600</v>
      </c>
      <c r="R46" s="40"/>
      <c r="S46" s="40"/>
      <c r="T46" s="40"/>
      <c r="U46" s="40"/>
      <c r="V46" s="48"/>
      <c r="W46" s="40"/>
      <c r="X46" s="40"/>
      <c r="Y46" s="171"/>
      <c r="Z46" s="40"/>
      <c r="AA46" s="40"/>
      <c r="AB46" s="40"/>
      <c r="AC46" s="48"/>
      <c r="AD46" s="40"/>
      <c r="AE46" s="40"/>
      <c r="AF46" s="40"/>
      <c r="AG46" s="40"/>
      <c r="AH46" s="40"/>
      <c r="AI46" s="21"/>
      <c r="AJ46" s="48"/>
      <c r="AK46" s="58"/>
      <c r="AL46" s="61"/>
    </row>
    <row r="47" spans="1:38" s="11" customFormat="1" ht="16.5" customHeight="1">
      <c r="A47" s="230"/>
      <c r="B47" s="22"/>
      <c r="D47" s="40"/>
      <c r="E47" s="21"/>
      <c r="F47" s="21"/>
      <c r="G47" s="21"/>
      <c r="H47" s="48"/>
      <c r="I47" s="40"/>
      <c r="J47" s="21"/>
      <c r="K47" s="53"/>
      <c r="L47" s="40"/>
      <c r="M47" s="40"/>
      <c r="N47" s="21"/>
      <c r="O47" s="48"/>
      <c r="P47" s="40"/>
      <c r="R47" s="40"/>
      <c r="S47" s="40"/>
      <c r="T47" s="40"/>
      <c r="U47" s="40"/>
      <c r="V47" s="48"/>
      <c r="W47" s="40"/>
      <c r="X47" s="40"/>
      <c r="Z47" s="22"/>
      <c r="AA47" s="40"/>
      <c r="AB47" s="40"/>
      <c r="AC47" s="48"/>
      <c r="AD47" s="40"/>
      <c r="AE47" s="22"/>
      <c r="AF47" s="40"/>
      <c r="AG47" s="21"/>
      <c r="AH47" s="40"/>
      <c r="AI47" s="21"/>
      <c r="AJ47" s="48"/>
      <c r="AK47" s="58"/>
      <c r="AL47" s="61"/>
    </row>
    <row r="48" spans="1:38" s="11" customFormat="1" ht="16.5" customHeight="1">
      <c r="A48" s="230"/>
      <c r="B48" s="91"/>
      <c r="C48" s="22"/>
      <c r="D48" s="40"/>
      <c r="E48" s="21"/>
      <c r="F48" s="21"/>
      <c r="G48" s="21"/>
      <c r="H48" s="48"/>
      <c r="I48" s="21"/>
      <c r="J48" s="40"/>
      <c r="K48" s="40"/>
      <c r="L48" s="40"/>
      <c r="M48" s="40"/>
      <c r="N48" s="21"/>
      <c r="O48" s="48"/>
      <c r="P48" s="40"/>
      <c r="R48" s="22"/>
      <c r="S48" s="40"/>
      <c r="U48" s="21"/>
      <c r="V48" s="48"/>
      <c r="W48" s="21"/>
      <c r="X48" s="105"/>
      <c r="Y48" s="40"/>
      <c r="Z48" s="40"/>
      <c r="AA48" s="40"/>
      <c r="AB48" s="21"/>
      <c r="AC48" s="48"/>
      <c r="AD48" s="40"/>
      <c r="AE48" s="40"/>
      <c r="AF48" s="40"/>
      <c r="AG48" s="40"/>
      <c r="AI48" s="97" t="s">
        <v>1343</v>
      </c>
      <c r="AJ48" s="48"/>
      <c r="AK48" s="58"/>
      <c r="AL48" s="61"/>
    </row>
    <row r="49" spans="1:38" s="11" customFormat="1" ht="16.5" customHeight="1">
      <c r="A49" s="230"/>
      <c r="B49" s="91"/>
      <c r="C49" s="22"/>
      <c r="D49" s="40"/>
      <c r="E49" s="21"/>
      <c r="F49" s="21"/>
      <c r="G49" s="21"/>
      <c r="H49" s="98"/>
      <c r="I49" s="21"/>
      <c r="J49" s="40"/>
      <c r="K49" s="40"/>
      <c r="L49" s="40"/>
      <c r="M49" s="40"/>
      <c r="N49" s="21"/>
      <c r="O49" s="98"/>
      <c r="P49" s="40"/>
      <c r="R49" s="22"/>
      <c r="S49" s="40"/>
      <c r="U49" s="21"/>
      <c r="V49" s="48"/>
      <c r="W49" s="21"/>
      <c r="X49" s="105"/>
      <c r="Y49" s="40"/>
      <c r="Z49" s="40"/>
      <c r="AA49" s="40"/>
      <c r="AB49" s="21"/>
      <c r="AC49" s="48"/>
      <c r="AD49" s="40"/>
      <c r="AE49" s="40"/>
      <c r="AF49" s="40"/>
      <c r="AG49" s="40"/>
      <c r="AI49" s="97"/>
      <c r="AJ49" s="98"/>
      <c r="AK49" s="58"/>
      <c r="AL49" s="61"/>
    </row>
    <row r="50" spans="1:38" s="11" customFormat="1" ht="16.5" customHeight="1">
      <c r="A50" s="230"/>
      <c r="B50" s="24"/>
      <c r="C50" s="56"/>
      <c r="D50" s="24"/>
      <c r="E50" s="56"/>
      <c r="F50" s="24"/>
      <c r="G50" s="233">
        <f>1929+1670+2724</f>
        <v>6323</v>
      </c>
      <c r="H50" s="234"/>
      <c r="I50" s="24"/>
      <c r="J50" s="56"/>
      <c r="K50" s="24"/>
      <c r="L50" s="56"/>
      <c r="M50" s="185"/>
      <c r="N50" s="56"/>
      <c r="O50" s="56"/>
      <c r="P50" s="56"/>
      <c r="Q50" s="233">
        <f>2070+2034+4305+372+574+1373+374+378+162</f>
        <v>11642</v>
      </c>
      <c r="R50" s="234"/>
      <c r="S50" s="24"/>
      <c r="T50" s="56"/>
      <c r="U50" s="24"/>
      <c r="V50" s="25"/>
      <c r="W50" s="56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33">
        <f>1971+2688</f>
        <v>4659</v>
      </c>
      <c r="AJ50" s="234"/>
      <c r="AK50" s="24"/>
      <c r="AL50" s="64"/>
    </row>
    <row r="51" spans="1:38" s="11" customFormat="1" ht="2.25" customHeight="1">
      <c r="A51" s="26"/>
      <c r="B51" s="27"/>
      <c r="C51" s="27"/>
      <c r="D51" s="27"/>
      <c r="E51" s="28"/>
      <c r="F51" s="27"/>
      <c r="G51" s="27"/>
      <c r="H51" s="27"/>
      <c r="I51" s="27"/>
      <c r="J51" s="44"/>
      <c r="K51" s="44"/>
      <c r="L51" s="44"/>
      <c r="M51" s="44"/>
      <c r="N51" s="44"/>
      <c r="O51" s="27"/>
      <c r="P51" s="27"/>
      <c r="Q51" s="44"/>
      <c r="R51" s="44"/>
      <c r="S51" s="44"/>
      <c r="T51" s="44"/>
      <c r="U51" s="44"/>
      <c r="V51" s="27"/>
      <c r="W51" s="27"/>
      <c r="X51" s="44"/>
      <c r="Y51" s="44"/>
      <c r="Z51" s="44"/>
      <c r="AA51" s="44"/>
      <c r="AB51" s="44"/>
      <c r="AC51" s="27"/>
      <c r="AD51" s="27"/>
      <c r="AE51" s="44"/>
      <c r="AF51" s="44"/>
      <c r="AG51" s="44"/>
      <c r="AH51" s="44"/>
      <c r="AI51" s="44"/>
      <c r="AJ51" s="30"/>
      <c r="AK51" s="27"/>
      <c r="AL51" s="30"/>
    </row>
    <row r="52" spans="1:38" s="57" customFormat="1" ht="32.25" customHeight="1">
      <c r="A52" s="236" t="s">
        <v>2</v>
      </c>
      <c r="B52" s="38" t="s">
        <v>3</v>
      </c>
      <c r="C52" s="32"/>
      <c r="D52" s="31"/>
      <c r="E52" s="31"/>
      <c r="F52" s="32"/>
      <c r="G52" s="32"/>
      <c r="H52" s="32"/>
      <c r="I52" s="238" t="s">
        <v>4</v>
      </c>
      <c r="J52" s="32"/>
      <c r="K52" s="32"/>
      <c r="L52" s="32"/>
      <c r="M52" s="32"/>
      <c r="N52" s="32"/>
      <c r="O52" s="32"/>
      <c r="P52" s="238" t="s">
        <v>5</v>
      </c>
      <c r="Q52" s="32"/>
      <c r="R52" s="32"/>
      <c r="S52" s="32"/>
      <c r="T52" s="32"/>
      <c r="U52" s="32"/>
      <c r="V52" s="32"/>
      <c r="W52" s="238" t="s">
        <v>6</v>
      </c>
      <c r="X52" s="32"/>
      <c r="Y52" s="32"/>
      <c r="Z52" s="32"/>
      <c r="AA52" s="32"/>
      <c r="AB52" s="32"/>
      <c r="AC52" s="32"/>
      <c r="AD52" s="238" t="s">
        <v>46</v>
      </c>
      <c r="AE52" s="32"/>
      <c r="AF52" s="32"/>
      <c r="AG52" s="32"/>
      <c r="AH52" s="32"/>
      <c r="AI52" s="32"/>
      <c r="AJ52" s="32"/>
      <c r="AK52" s="32"/>
      <c r="AL52" s="33"/>
    </row>
    <row r="53" spans="1:38" s="57" customFormat="1" ht="32.25" customHeight="1" thickBot="1">
      <c r="A53" s="237"/>
      <c r="B53" s="39" t="s">
        <v>7</v>
      </c>
      <c r="C53" s="35"/>
      <c r="D53" s="34"/>
      <c r="E53" s="34"/>
      <c r="F53" s="35"/>
      <c r="G53" s="35"/>
      <c r="H53" s="35"/>
      <c r="I53" s="239"/>
      <c r="J53" s="35"/>
      <c r="K53" s="35"/>
      <c r="L53" s="35"/>
      <c r="M53" s="35"/>
      <c r="N53" s="35"/>
      <c r="O53" s="35"/>
      <c r="P53" s="239"/>
      <c r="Q53" s="35"/>
      <c r="R53" s="35"/>
      <c r="S53" s="35"/>
      <c r="T53" s="35"/>
      <c r="U53" s="35"/>
      <c r="V53" s="35"/>
      <c r="W53" s="239"/>
      <c r="X53" s="35"/>
      <c r="Y53" s="35"/>
      <c r="Z53" s="35"/>
      <c r="AA53" s="35"/>
      <c r="AB53" s="35"/>
      <c r="AC53" s="35"/>
      <c r="AD53" s="239"/>
      <c r="AE53" s="35"/>
      <c r="AF53" s="35"/>
      <c r="AG53" s="35"/>
      <c r="AH53" s="35"/>
      <c r="AI53" s="35"/>
      <c r="AJ53" s="35"/>
      <c r="AK53" s="35"/>
      <c r="AL53" s="36"/>
    </row>
  </sheetData>
  <mergeCells count="15">
    <mergeCell ref="A34:A50"/>
    <mergeCell ref="AJ41:AK41"/>
    <mergeCell ref="A9:A28"/>
    <mergeCell ref="AJ20:AK20"/>
    <mergeCell ref="G28:H28"/>
    <mergeCell ref="G50:H50"/>
    <mergeCell ref="L28:M28"/>
    <mergeCell ref="T28:U28"/>
    <mergeCell ref="AI50:AJ50"/>
    <mergeCell ref="Q50:R50"/>
    <mergeCell ref="A52:A53"/>
    <mergeCell ref="I52:I53"/>
    <mergeCell ref="P52:P53"/>
    <mergeCell ref="W52:W53"/>
    <mergeCell ref="AD52:AD53"/>
  </mergeCells>
  <phoneticPr fontId="48" type="noConversion"/>
  <printOptions horizontalCentered="1"/>
  <pageMargins left="0" right="0" top="0" bottom="0" header="0" footer="0"/>
  <pageSetup paperSize="9" scale="4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O104"/>
  <sheetViews>
    <sheetView zoomScale="75" zoomScaleNormal="75" workbookViewId="0">
      <pane ySplit="4" topLeftCell="A53" activePane="bottomLeft" state="frozen"/>
      <selection activeCell="X50" sqref="X50"/>
      <selection pane="bottomLeft" activeCell="H77" sqref="H77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39" s="4" customFormat="1" ht="22">
      <c r="A1" s="3"/>
      <c r="B1" s="7"/>
      <c r="Q1" s="1" t="s">
        <v>1216</v>
      </c>
      <c r="AJ1" s="5" t="s">
        <v>1645</v>
      </c>
    </row>
    <row r="2" spans="1:39" s="11" customFormat="1" ht="17.25" customHeight="1">
      <c r="A2" s="8" t="s">
        <v>11</v>
      </c>
      <c r="B2" s="9" t="s">
        <v>53</v>
      </c>
      <c r="C2" s="9"/>
      <c r="D2" s="9"/>
      <c r="E2" s="9"/>
      <c r="F2" s="9"/>
      <c r="G2" s="9"/>
      <c r="H2" s="45"/>
      <c r="I2" s="9" t="s">
        <v>57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39" s="11" customFormat="1" ht="17.25" customHeight="1">
      <c r="A3" s="12" t="s">
        <v>12</v>
      </c>
      <c r="B3" s="43">
        <v>25</v>
      </c>
      <c r="C3" s="13">
        <v>26</v>
      </c>
      <c r="D3" s="43">
        <v>27</v>
      </c>
      <c r="E3" s="13">
        <v>28</v>
      </c>
      <c r="F3" s="13">
        <v>29</v>
      </c>
      <c r="G3" s="13">
        <v>30</v>
      </c>
      <c r="H3" s="13">
        <v>31</v>
      </c>
      <c r="I3" s="59">
        <v>1</v>
      </c>
      <c r="J3" s="13">
        <v>2</v>
      </c>
      <c r="K3" s="43">
        <v>3</v>
      </c>
      <c r="L3" s="43">
        <v>4</v>
      </c>
      <c r="M3" s="43">
        <v>5</v>
      </c>
      <c r="N3" s="13">
        <v>6</v>
      </c>
      <c r="O3" s="43">
        <v>7</v>
      </c>
      <c r="P3" s="43">
        <v>8</v>
      </c>
      <c r="Q3" s="13">
        <v>9</v>
      </c>
      <c r="R3" s="43">
        <v>10</v>
      </c>
      <c r="S3" s="43">
        <v>11</v>
      </c>
      <c r="T3" s="43">
        <v>12</v>
      </c>
      <c r="U3" s="13">
        <v>13</v>
      </c>
      <c r="V3" s="43">
        <v>14</v>
      </c>
      <c r="W3" s="43">
        <v>15</v>
      </c>
      <c r="X3" s="13">
        <v>16</v>
      </c>
      <c r="Y3" s="43">
        <v>17</v>
      </c>
      <c r="Z3" s="43">
        <v>18</v>
      </c>
      <c r="AA3" s="43">
        <v>19</v>
      </c>
      <c r="AB3" s="13">
        <v>20</v>
      </c>
      <c r="AC3" s="43">
        <v>21</v>
      </c>
      <c r="AD3" s="43">
        <v>22</v>
      </c>
      <c r="AE3" s="13">
        <v>23</v>
      </c>
      <c r="AF3" s="43">
        <v>24</v>
      </c>
      <c r="AG3" s="13">
        <v>25</v>
      </c>
      <c r="AH3" s="13">
        <v>26</v>
      </c>
      <c r="AI3" s="13">
        <v>27</v>
      </c>
      <c r="AJ3" s="13">
        <v>28</v>
      </c>
      <c r="AK3" s="13">
        <v>29</v>
      </c>
      <c r="AL3" s="19">
        <v>30</v>
      </c>
    </row>
    <row r="4" spans="1:39" s="11" customFormat="1" ht="17.25" customHeight="1">
      <c r="A4" s="12" t="s">
        <v>13</v>
      </c>
      <c r="B4" s="15" t="s">
        <v>1295</v>
      </c>
      <c r="C4" s="15" t="s">
        <v>1296</v>
      </c>
      <c r="D4" s="15" t="s">
        <v>17</v>
      </c>
      <c r="E4" s="15" t="s">
        <v>14</v>
      </c>
      <c r="F4" s="15" t="s">
        <v>15</v>
      </c>
      <c r="G4" s="15" t="s">
        <v>1297</v>
      </c>
      <c r="H4" s="14" t="s">
        <v>16</v>
      </c>
      <c r="I4" s="65" t="s">
        <v>1295</v>
      </c>
      <c r="J4" s="15" t="s">
        <v>1296</v>
      </c>
      <c r="K4" s="15" t="s">
        <v>17</v>
      </c>
      <c r="L4" s="15" t="s">
        <v>14</v>
      </c>
      <c r="M4" s="15" t="s">
        <v>15</v>
      </c>
      <c r="N4" s="15" t="s">
        <v>1297</v>
      </c>
      <c r="O4" s="14" t="s">
        <v>16</v>
      </c>
      <c r="P4" s="15" t="s">
        <v>1295</v>
      </c>
      <c r="Q4" s="15" t="s">
        <v>1296</v>
      </c>
      <c r="R4" s="15" t="s">
        <v>17</v>
      </c>
      <c r="S4" s="15" t="s">
        <v>14</v>
      </c>
      <c r="T4" s="15" t="s">
        <v>15</v>
      </c>
      <c r="U4" s="15" t="s">
        <v>1297</v>
      </c>
      <c r="V4" s="14" t="s">
        <v>16</v>
      </c>
      <c r="W4" s="15" t="s">
        <v>1295</v>
      </c>
      <c r="X4" s="15" t="s">
        <v>1296</v>
      </c>
      <c r="Y4" s="15" t="s">
        <v>17</v>
      </c>
      <c r="Z4" s="15" t="s">
        <v>14</v>
      </c>
      <c r="AA4" s="15" t="s">
        <v>15</v>
      </c>
      <c r="AB4" s="15" t="s">
        <v>1297</v>
      </c>
      <c r="AC4" s="14" t="s">
        <v>16</v>
      </c>
      <c r="AD4" s="15" t="s">
        <v>1295</v>
      </c>
      <c r="AE4" s="15" t="s">
        <v>1296</v>
      </c>
      <c r="AF4" s="15" t="s">
        <v>17</v>
      </c>
      <c r="AG4" s="15" t="s">
        <v>14</v>
      </c>
      <c r="AH4" s="15" t="s">
        <v>15</v>
      </c>
      <c r="AI4" s="15" t="s">
        <v>1297</v>
      </c>
      <c r="AJ4" s="14" t="s">
        <v>16</v>
      </c>
      <c r="AK4" s="15" t="s">
        <v>1295</v>
      </c>
      <c r="AL4" s="63" t="s">
        <v>1296</v>
      </c>
    </row>
    <row r="5" spans="1:39" s="11" customFormat="1" ht="16.5" customHeight="1">
      <c r="A5" s="12" t="s">
        <v>0</v>
      </c>
      <c r="B5" s="16"/>
      <c r="C5" s="16"/>
      <c r="D5" s="16"/>
      <c r="E5" s="16"/>
      <c r="F5" s="16"/>
      <c r="G5" s="16">
        <v>640</v>
      </c>
      <c r="H5" s="25"/>
      <c r="I5" s="16">
        <v>640</v>
      </c>
      <c r="J5" s="16">
        <v>880</v>
      </c>
      <c r="K5" s="16">
        <v>880</v>
      </c>
      <c r="L5" s="68">
        <v>790</v>
      </c>
      <c r="M5" s="16">
        <v>880</v>
      </c>
      <c r="N5" s="16">
        <v>640</v>
      </c>
      <c r="O5" s="25"/>
      <c r="P5" s="16">
        <v>640</v>
      </c>
      <c r="Q5" s="16">
        <v>760</v>
      </c>
      <c r="R5" s="51">
        <v>880</v>
      </c>
      <c r="S5" s="16">
        <v>760</v>
      </c>
      <c r="T5" s="16">
        <v>880</v>
      </c>
      <c r="U5" s="16">
        <v>760</v>
      </c>
      <c r="V5" s="25"/>
      <c r="W5" s="16">
        <v>1330</v>
      </c>
      <c r="X5" s="16">
        <v>1120</v>
      </c>
      <c r="Y5" s="16">
        <v>1120</v>
      </c>
      <c r="Z5" s="16">
        <v>1120</v>
      </c>
      <c r="AA5" s="16">
        <v>1120</v>
      </c>
      <c r="AB5" s="16">
        <v>1120</v>
      </c>
      <c r="AC5" s="25"/>
      <c r="AD5" s="16">
        <v>1120</v>
      </c>
      <c r="AE5" s="16">
        <v>1120</v>
      </c>
      <c r="AF5" s="16">
        <v>1120</v>
      </c>
      <c r="AG5" s="16">
        <v>1120</v>
      </c>
      <c r="AH5" s="16">
        <v>1120</v>
      </c>
      <c r="AI5" s="51">
        <v>1120</v>
      </c>
      <c r="AJ5" s="25"/>
      <c r="AK5" s="16">
        <v>1120</v>
      </c>
      <c r="AL5" s="16">
        <v>1120</v>
      </c>
      <c r="AM5" s="17">
        <f>+SUM(B5:AL5)</f>
        <v>25920</v>
      </c>
    </row>
    <row r="6" spans="1:39" s="17" customFormat="1" ht="16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25"/>
      <c r="I6" s="192">
        <v>11</v>
      </c>
      <c r="J6" s="192">
        <v>11</v>
      </c>
      <c r="K6" s="192">
        <v>11</v>
      </c>
      <c r="L6" s="192">
        <v>11</v>
      </c>
      <c r="M6" s="192">
        <v>8</v>
      </c>
      <c r="N6" s="192">
        <v>8</v>
      </c>
      <c r="O6" s="193"/>
      <c r="P6" s="18">
        <v>9.5</v>
      </c>
      <c r="Q6" s="18">
        <v>11</v>
      </c>
      <c r="R6" s="18">
        <v>9.5</v>
      </c>
      <c r="S6" s="18">
        <v>11</v>
      </c>
      <c r="T6" s="18">
        <v>9.5</v>
      </c>
      <c r="U6" s="18">
        <v>9.5</v>
      </c>
      <c r="V6" s="25"/>
      <c r="W6" s="18">
        <v>8</v>
      </c>
      <c r="X6" s="18">
        <v>8</v>
      </c>
      <c r="Y6" s="18">
        <v>8</v>
      </c>
      <c r="Z6" s="18">
        <v>8</v>
      </c>
      <c r="AA6" s="18">
        <v>8</v>
      </c>
      <c r="AB6" s="18">
        <v>8</v>
      </c>
      <c r="AC6" s="193"/>
      <c r="AD6" s="18">
        <v>8</v>
      </c>
      <c r="AE6" s="18">
        <v>8</v>
      </c>
      <c r="AF6" s="18">
        <v>8</v>
      </c>
      <c r="AG6" s="18">
        <v>8</v>
      </c>
      <c r="AH6" s="18">
        <v>8</v>
      </c>
      <c r="AI6" s="18">
        <v>8</v>
      </c>
      <c r="AJ6" s="25"/>
      <c r="AK6" s="18">
        <v>8</v>
      </c>
      <c r="AL6" s="18">
        <v>8</v>
      </c>
    </row>
    <row r="7" spans="1:39" s="17" customFormat="1" ht="16.5" customHeight="1">
      <c r="A7" s="2" t="s">
        <v>19</v>
      </c>
      <c r="B7" s="41"/>
      <c r="C7" s="41"/>
      <c r="D7" s="41"/>
      <c r="E7" s="41"/>
      <c r="F7" s="41"/>
      <c r="G7" s="66" t="s">
        <v>70</v>
      </c>
      <c r="H7" s="25"/>
      <c r="I7" s="41"/>
      <c r="J7" s="41"/>
      <c r="K7" s="41"/>
      <c r="L7" s="66" t="s">
        <v>70</v>
      </c>
      <c r="M7" s="66"/>
      <c r="N7" s="41"/>
      <c r="O7" s="25"/>
      <c r="P7" s="41"/>
      <c r="Q7" s="41"/>
      <c r="R7" s="41"/>
      <c r="S7" s="41"/>
      <c r="T7" s="41"/>
      <c r="U7" s="66"/>
      <c r="V7" s="25"/>
      <c r="W7" s="66" t="s">
        <v>98</v>
      </c>
      <c r="X7" s="41"/>
      <c r="Y7" s="41"/>
      <c r="Z7" s="41"/>
      <c r="AA7" s="41"/>
      <c r="AB7" s="41"/>
      <c r="AC7" s="25"/>
      <c r="AD7" s="41"/>
      <c r="AE7" s="41"/>
      <c r="AF7" s="41"/>
      <c r="AG7" s="41"/>
      <c r="AH7" s="41"/>
      <c r="AI7" s="41"/>
      <c r="AJ7" s="25"/>
      <c r="AK7" s="41"/>
      <c r="AL7" s="60"/>
    </row>
    <row r="8" spans="1:39" s="17" customFormat="1" ht="16.5" customHeight="1">
      <c r="A8" s="2" t="s">
        <v>20</v>
      </c>
      <c r="B8" s="20"/>
      <c r="C8" s="20"/>
      <c r="D8" s="20"/>
      <c r="E8" s="20"/>
      <c r="F8" s="20"/>
      <c r="G8" s="20">
        <v>0.9</v>
      </c>
      <c r="H8" s="25"/>
      <c r="I8" s="20"/>
      <c r="J8" s="20"/>
      <c r="K8" s="20"/>
      <c r="L8" s="20">
        <v>0.9</v>
      </c>
      <c r="M8" s="20"/>
      <c r="N8" s="20"/>
      <c r="O8" s="25"/>
      <c r="P8" s="20"/>
      <c r="Q8" s="20"/>
      <c r="R8" s="20"/>
      <c r="S8" s="20"/>
      <c r="T8" s="20"/>
      <c r="U8" s="20"/>
      <c r="V8" s="25"/>
      <c r="W8" s="20"/>
      <c r="X8" s="20"/>
      <c r="Y8" s="20"/>
      <c r="Z8" s="20"/>
      <c r="AA8" s="20"/>
      <c r="AB8" s="20"/>
      <c r="AC8" s="25"/>
      <c r="AD8" s="20"/>
      <c r="AE8" s="20"/>
      <c r="AF8" s="20"/>
      <c r="AG8" s="20"/>
      <c r="AH8" s="20"/>
      <c r="AI8" s="20"/>
      <c r="AJ8" s="25"/>
      <c r="AK8" s="20"/>
      <c r="AL8" s="60"/>
    </row>
    <row r="9" spans="1:39" s="11" customFormat="1" ht="16.5" customHeight="1">
      <c r="A9" s="229" t="s">
        <v>40</v>
      </c>
      <c r="B9" s="46"/>
      <c r="C9" s="49"/>
      <c r="D9" s="40"/>
      <c r="E9" s="47"/>
      <c r="F9" s="47"/>
      <c r="G9" s="203" t="s">
        <v>400</v>
      </c>
      <c r="H9" s="48"/>
      <c r="J9" s="40"/>
      <c r="K9" s="40"/>
      <c r="L9" s="50" t="s">
        <v>59</v>
      </c>
      <c r="M9" s="40"/>
      <c r="N9" s="47"/>
      <c r="O9" s="48"/>
      <c r="P9" s="40"/>
      <c r="Q9" s="50"/>
      <c r="R9" s="40"/>
      <c r="S9" s="50" t="s">
        <v>59</v>
      </c>
      <c r="V9" s="48"/>
      <c r="W9" s="40"/>
      <c r="X9" s="50"/>
      <c r="Y9" s="47"/>
      <c r="Z9" s="40"/>
      <c r="AA9" s="40"/>
      <c r="AB9" s="47"/>
      <c r="AC9" s="48"/>
      <c r="AE9" s="55"/>
      <c r="AG9" s="50" t="s">
        <v>59</v>
      </c>
      <c r="AI9" s="47"/>
      <c r="AJ9" s="48"/>
      <c r="AK9" s="62"/>
      <c r="AL9" s="61"/>
    </row>
    <row r="10" spans="1:39" s="11" customFormat="1" ht="16.5" customHeight="1">
      <c r="A10" s="230"/>
      <c r="B10" s="22"/>
      <c r="C10" s="22"/>
      <c r="D10" s="40"/>
      <c r="E10" s="21"/>
      <c r="F10" s="21"/>
      <c r="G10" s="22" t="s">
        <v>1614</v>
      </c>
      <c r="H10" s="48"/>
      <c r="I10" s="40"/>
      <c r="J10" s="40"/>
      <c r="K10" s="40"/>
      <c r="L10" s="22" t="s">
        <v>63</v>
      </c>
      <c r="M10" s="40"/>
      <c r="N10" s="21"/>
      <c r="O10" s="48"/>
      <c r="P10" s="40"/>
      <c r="Q10" s="22"/>
      <c r="R10" s="40"/>
      <c r="S10" s="22" t="s">
        <v>76</v>
      </c>
      <c r="T10" s="40"/>
      <c r="U10" s="40"/>
      <c r="V10" s="48"/>
      <c r="W10" s="40"/>
      <c r="X10" s="40"/>
      <c r="Y10" s="40"/>
      <c r="Z10" s="40"/>
      <c r="AA10" s="40"/>
      <c r="AB10" s="21"/>
      <c r="AC10" s="48"/>
      <c r="AD10" s="40"/>
      <c r="AE10" s="22"/>
      <c r="AF10" s="40"/>
      <c r="AG10" s="22" t="s">
        <v>78</v>
      </c>
      <c r="AH10" s="40"/>
      <c r="AI10" s="21"/>
      <c r="AJ10" s="48"/>
      <c r="AK10" s="58"/>
      <c r="AL10" s="61"/>
    </row>
    <row r="11" spans="1:39" s="11" customFormat="1" ht="16.5" customHeight="1">
      <c r="A11" s="230"/>
      <c r="B11" s="22"/>
      <c r="C11" s="22"/>
      <c r="D11" s="40"/>
      <c r="E11" s="21"/>
      <c r="F11" s="21"/>
      <c r="G11" s="22" t="s">
        <v>1615</v>
      </c>
      <c r="H11" s="48"/>
      <c r="I11" s="40"/>
      <c r="J11" s="40"/>
      <c r="K11" s="40"/>
      <c r="L11" s="22" t="s">
        <v>64</v>
      </c>
      <c r="M11" s="40"/>
      <c r="N11" s="21"/>
      <c r="O11" s="48"/>
      <c r="P11" s="40"/>
      <c r="Q11" s="22"/>
      <c r="R11" s="40"/>
      <c r="S11" s="22" t="s">
        <v>74</v>
      </c>
      <c r="T11" s="40"/>
      <c r="U11" s="40"/>
      <c r="V11" s="48"/>
      <c r="W11" s="40"/>
      <c r="X11" s="40"/>
      <c r="Y11" s="40"/>
      <c r="Z11" s="40"/>
      <c r="AA11" s="40"/>
      <c r="AB11" s="21"/>
      <c r="AC11" s="48"/>
      <c r="AD11" s="40"/>
      <c r="AE11" s="22"/>
      <c r="AF11" s="40"/>
      <c r="AG11" s="22" t="s">
        <v>77</v>
      </c>
      <c r="AH11" s="40"/>
      <c r="AI11" s="21"/>
      <c r="AJ11" s="48"/>
      <c r="AK11" s="58"/>
      <c r="AL11" s="61"/>
    </row>
    <row r="12" spans="1:39" s="11" customFormat="1" ht="16.5" customHeight="1">
      <c r="A12" s="230"/>
      <c r="B12" s="22"/>
      <c r="C12" s="55"/>
      <c r="D12" s="40"/>
      <c r="E12" s="21"/>
      <c r="F12" s="21"/>
      <c r="G12" s="203" t="s">
        <v>400</v>
      </c>
      <c r="H12" s="48"/>
      <c r="I12" s="40"/>
      <c r="J12" s="40"/>
      <c r="K12" s="40"/>
      <c r="L12" s="22" t="s">
        <v>65</v>
      </c>
      <c r="M12" s="40"/>
      <c r="N12" s="21"/>
      <c r="O12" s="48"/>
      <c r="P12" s="40"/>
      <c r="Q12" s="40"/>
      <c r="R12" s="40"/>
      <c r="S12" s="22" t="s">
        <v>75</v>
      </c>
      <c r="T12" s="40"/>
      <c r="U12" s="40"/>
      <c r="V12" s="48"/>
      <c r="W12" s="40"/>
      <c r="X12" s="40"/>
      <c r="Y12" s="40"/>
      <c r="Z12" s="40"/>
      <c r="AA12" s="40"/>
      <c r="AB12" s="40"/>
      <c r="AC12" s="48"/>
      <c r="AD12" s="40"/>
      <c r="AE12" s="22"/>
      <c r="AF12" s="40"/>
      <c r="AG12" s="22" t="s">
        <v>1191</v>
      </c>
      <c r="AH12" s="40"/>
      <c r="AI12" s="21"/>
      <c r="AJ12" s="48"/>
      <c r="AK12" s="58"/>
      <c r="AL12" s="61"/>
    </row>
    <row r="13" spans="1:39" s="11" customFormat="1" ht="16.5" customHeight="1">
      <c r="A13" s="230"/>
      <c r="B13" s="22"/>
      <c r="C13" s="22"/>
      <c r="D13" s="40"/>
      <c r="E13" s="21"/>
      <c r="F13" s="21"/>
      <c r="G13" s="171" t="s">
        <v>1491</v>
      </c>
      <c r="H13" s="48"/>
      <c r="I13" s="40"/>
      <c r="J13" s="40"/>
      <c r="K13" s="40"/>
      <c r="L13" s="22" t="s">
        <v>66</v>
      </c>
      <c r="M13" s="40"/>
      <c r="N13" s="21"/>
      <c r="O13" s="48"/>
      <c r="P13" s="40"/>
      <c r="Q13" s="40"/>
      <c r="R13" s="40"/>
      <c r="S13" s="22" t="s">
        <v>1151</v>
      </c>
      <c r="T13" s="40"/>
      <c r="U13" s="40"/>
      <c r="V13" s="48"/>
      <c r="W13" s="40"/>
      <c r="X13" s="40"/>
      <c r="Y13" s="40"/>
      <c r="Z13" s="40"/>
      <c r="AA13" s="40"/>
      <c r="AB13" s="40"/>
      <c r="AC13" s="48"/>
      <c r="AD13" s="40"/>
      <c r="AE13" s="22"/>
      <c r="AF13" s="40"/>
      <c r="AG13" s="22" t="s">
        <v>1192</v>
      </c>
      <c r="AH13" s="40"/>
      <c r="AI13" s="21"/>
      <c r="AJ13" s="48"/>
      <c r="AK13" s="58"/>
      <c r="AL13" s="61"/>
    </row>
    <row r="14" spans="1:39" s="11" customFormat="1" ht="16.5" customHeight="1">
      <c r="A14" s="230"/>
      <c r="C14" s="22"/>
      <c r="D14" s="40"/>
      <c r="E14" s="21"/>
      <c r="F14" s="21"/>
      <c r="G14" s="195" t="s">
        <v>1573</v>
      </c>
      <c r="H14" s="48"/>
      <c r="I14" s="40"/>
      <c r="J14" s="40"/>
      <c r="K14" s="40"/>
      <c r="L14" s="22" t="s">
        <v>67</v>
      </c>
      <c r="M14" s="40"/>
      <c r="N14" s="21"/>
      <c r="O14" s="48"/>
      <c r="P14" s="40"/>
      <c r="Q14" s="40"/>
      <c r="R14" s="40"/>
      <c r="S14" s="22" t="s">
        <v>1152</v>
      </c>
      <c r="T14" s="40"/>
      <c r="U14" s="40"/>
      <c r="V14" s="48"/>
      <c r="W14" s="40"/>
      <c r="X14" s="40"/>
      <c r="Y14" s="40"/>
      <c r="Z14" s="40"/>
      <c r="AA14" s="40"/>
      <c r="AB14" s="40"/>
      <c r="AC14" s="48"/>
      <c r="AD14" s="40"/>
      <c r="AE14" s="22"/>
      <c r="AF14" s="40"/>
      <c r="AG14" s="21"/>
      <c r="AH14" s="40"/>
      <c r="AI14" s="21"/>
      <c r="AJ14" s="231">
        <f>+SUM(B24:AL24)</f>
        <v>27218</v>
      </c>
      <c r="AK14" s="232"/>
      <c r="AL14" s="23" t="s">
        <v>1</v>
      </c>
    </row>
    <row r="15" spans="1:39" s="11" customFormat="1" ht="16.5" customHeight="1">
      <c r="A15" s="230"/>
      <c r="B15" s="91" t="s">
        <v>909</v>
      </c>
      <c r="C15" s="22"/>
      <c r="D15" s="40"/>
      <c r="E15" s="21"/>
      <c r="F15" s="21"/>
      <c r="G15" s="195" t="s">
        <v>1365</v>
      </c>
      <c r="H15" s="48"/>
      <c r="I15" s="40"/>
      <c r="J15" s="40"/>
      <c r="K15" s="40"/>
      <c r="L15" s="22" t="s">
        <v>68</v>
      </c>
      <c r="M15" s="40"/>
      <c r="N15" s="21"/>
      <c r="O15" s="48"/>
      <c r="P15" s="40"/>
      <c r="Q15" s="40"/>
      <c r="R15" s="40"/>
      <c r="S15" s="53" t="s">
        <v>945</v>
      </c>
      <c r="T15" s="40"/>
      <c r="U15" s="40"/>
      <c r="V15" s="48"/>
      <c r="W15" s="40"/>
      <c r="X15" s="40"/>
      <c r="Y15" s="40"/>
      <c r="Z15" s="40"/>
      <c r="AA15" s="40"/>
      <c r="AB15" s="50"/>
      <c r="AC15" s="48"/>
      <c r="AD15" s="40"/>
      <c r="AE15" s="40"/>
      <c r="AF15" s="40"/>
      <c r="AG15" s="40"/>
      <c r="AH15" s="50"/>
      <c r="AI15" s="21"/>
      <c r="AJ15" s="48"/>
      <c r="AK15" s="58"/>
      <c r="AL15" s="61"/>
    </row>
    <row r="16" spans="1:39" s="11" customFormat="1" ht="16.5" customHeight="1">
      <c r="A16" s="230"/>
      <c r="B16" s="22"/>
      <c r="C16" s="22"/>
      <c r="D16" s="40"/>
      <c r="E16" s="21"/>
      <c r="F16" s="21"/>
      <c r="G16" s="40"/>
      <c r="H16" s="48"/>
      <c r="I16" s="40"/>
      <c r="J16" s="40"/>
      <c r="K16" s="40"/>
      <c r="L16" s="22" t="s">
        <v>69</v>
      </c>
      <c r="M16" s="40"/>
      <c r="N16" s="21"/>
      <c r="O16" s="48"/>
      <c r="P16" s="40"/>
      <c r="Q16" s="40"/>
      <c r="R16" s="40"/>
      <c r="S16" s="107" t="s">
        <v>944</v>
      </c>
      <c r="T16" s="40"/>
      <c r="U16" s="40"/>
      <c r="V16" s="48"/>
      <c r="W16" s="40"/>
      <c r="X16" s="40"/>
      <c r="Y16" s="40"/>
      <c r="Z16" s="40"/>
      <c r="AA16" s="40"/>
      <c r="AB16" s="40"/>
      <c r="AC16" s="48"/>
      <c r="AD16" s="40"/>
      <c r="AE16" s="40"/>
      <c r="AF16" s="40"/>
      <c r="AG16" s="40"/>
      <c r="AH16" s="40"/>
      <c r="AI16" s="21"/>
      <c r="AJ16" s="48"/>
      <c r="AK16" s="58"/>
      <c r="AL16" s="61"/>
    </row>
    <row r="17" spans="1:41" s="11" customFormat="1" ht="16.5" customHeight="1">
      <c r="A17" s="230"/>
      <c r="B17" s="22"/>
      <c r="C17" s="22"/>
      <c r="D17" s="40"/>
      <c r="E17" s="21"/>
      <c r="F17" s="21"/>
      <c r="G17" s="40"/>
      <c r="H17" s="48"/>
      <c r="I17" s="40"/>
      <c r="J17" s="40"/>
      <c r="K17" s="40"/>
      <c r="L17" s="22" t="s">
        <v>62</v>
      </c>
      <c r="M17" s="40"/>
      <c r="N17" s="21"/>
      <c r="O17" s="48"/>
      <c r="P17" s="40"/>
      <c r="Q17" s="40"/>
      <c r="R17" s="40"/>
      <c r="S17" s="40"/>
      <c r="T17" s="40"/>
      <c r="U17" s="40"/>
      <c r="V17" s="48"/>
      <c r="W17" s="21"/>
      <c r="X17" s="53"/>
      <c r="Y17" s="40"/>
      <c r="Z17" s="40"/>
      <c r="AA17" s="40"/>
      <c r="AB17" s="40"/>
      <c r="AC17" s="48"/>
      <c r="AD17" s="40"/>
      <c r="AE17" s="40"/>
      <c r="AF17" s="40"/>
      <c r="AG17" s="40"/>
      <c r="AH17" s="40"/>
      <c r="AI17" s="21"/>
      <c r="AJ17" s="48"/>
      <c r="AL17" s="61"/>
    </row>
    <row r="18" spans="1:41" s="11" customFormat="1" ht="16.5" customHeight="1">
      <c r="A18" s="230"/>
      <c r="B18" s="22"/>
      <c r="C18" s="22"/>
      <c r="D18" s="40"/>
      <c r="E18" s="21"/>
      <c r="F18" s="21"/>
      <c r="G18" s="21"/>
      <c r="H18" s="48"/>
      <c r="I18" s="40"/>
      <c r="J18" s="40"/>
      <c r="K18" s="40"/>
      <c r="L18" s="22" t="s">
        <v>60</v>
      </c>
      <c r="M18" s="40"/>
      <c r="N18" s="21"/>
      <c r="O18" s="48"/>
      <c r="P18" s="40"/>
      <c r="Q18" s="40"/>
      <c r="S18" s="40"/>
      <c r="T18" s="40"/>
      <c r="U18" s="40"/>
      <c r="V18" s="48"/>
      <c r="W18" s="21"/>
      <c r="X18" s="40"/>
      <c r="Y18" s="40"/>
      <c r="Z18" s="40"/>
      <c r="AA18" s="40"/>
      <c r="AB18" s="40"/>
      <c r="AC18" s="48"/>
      <c r="AD18" s="40"/>
      <c r="AE18" s="40"/>
      <c r="AF18" s="40"/>
      <c r="AG18" s="21"/>
      <c r="AH18" s="22"/>
      <c r="AI18" s="21"/>
      <c r="AJ18" s="48"/>
      <c r="AK18" s="58"/>
      <c r="AL18" s="61"/>
    </row>
    <row r="19" spans="1:41" s="11" customFormat="1" ht="16.5" customHeight="1">
      <c r="A19" s="230"/>
      <c r="B19" s="91"/>
      <c r="C19" s="22"/>
      <c r="D19" s="40"/>
      <c r="E19" s="21"/>
      <c r="F19" s="21"/>
      <c r="G19" s="21"/>
      <c r="H19" s="48"/>
      <c r="I19" s="40"/>
      <c r="J19" s="40"/>
      <c r="K19" s="40"/>
      <c r="L19" s="22" t="s">
        <v>61</v>
      </c>
      <c r="M19" s="40"/>
      <c r="N19" s="21"/>
      <c r="O19" s="48"/>
      <c r="P19" s="40"/>
      <c r="Q19" s="40"/>
      <c r="R19" s="40"/>
      <c r="S19" s="40"/>
      <c r="T19" s="40"/>
      <c r="U19" s="40"/>
      <c r="V19" s="48"/>
      <c r="W19" s="21"/>
      <c r="X19" s="40"/>
      <c r="Y19" s="40"/>
      <c r="Z19" s="40"/>
      <c r="AA19" s="40"/>
      <c r="AB19" s="40"/>
      <c r="AC19" s="48"/>
      <c r="AD19" s="40"/>
      <c r="AE19" s="40"/>
      <c r="AF19" s="40"/>
      <c r="AG19" s="21"/>
      <c r="AH19" s="91"/>
      <c r="AI19" s="21"/>
      <c r="AJ19" s="48"/>
      <c r="AK19" s="156"/>
      <c r="AL19" s="61"/>
    </row>
    <row r="20" spans="1:41" s="11" customFormat="1" ht="16.5" customHeight="1">
      <c r="A20" s="230"/>
      <c r="B20" s="91"/>
      <c r="C20" s="22"/>
      <c r="D20" s="40"/>
      <c r="E20" s="21"/>
      <c r="F20" s="21"/>
      <c r="G20" s="21"/>
      <c r="H20" s="48"/>
      <c r="I20" s="40"/>
      <c r="J20" s="40"/>
      <c r="K20" s="40"/>
      <c r="L20" s="22" t="s">
        <v>71</v>
      </c>
      <c r="M20" s="40"/>
      <c r="N20" s="21"/>
      <c r="O20" s="48"/>
      <c r="P20" s="40"/>
      <c r="Q20" s="22"/>
      <c r="R20" s="40"/>
      <c r="S20" s="96"/>
      <c r="T20" s="40"/>
      <c r="U20" s="40"/>
      <c r="V20" s="48"/>
      <c r="W20" s="21"/>
      <c r="X20" s="40"/>
      <c r="Y20" s="40"/>
      <c r="Z20" s="40"/>
      <c r="AA20" s="40"/>
      <c r="AB20" s="21"/>
      <c r="AC20" s="48"/>
      <c r="AD20" s="40"/>
      <c r="AE20" s="40"/>
      <c r="AF20" s="40"/>
      <c r="AG20" s="40"/>
      <c r="AH20" s="91"/>
      <c r="AI20" s="40"/>
      <c r="AJ20" s="48"/>
      <c r="AK20" s="156"/>
      <c r="AL20" s="61"/>
    </row>
    <row r="21" spans="1:41" s="11" customFormat="1" ht="16.5" customHeight="1">
      <c r="A21" s="230"/>
      <c r="B21" s="91"/>
      <c r="C21" s="22"/>
      <c r="D21" s="40"/>
      <c r="E21" s="21"/>
      <c r="F21" s="21"/>
      <c r="G21" s="21"/>
      <c r="H21" s="48"/>
      <c r="I21" s="40"/>
      <c r="J21" s="40"/>
      <c r="K21" s="40"/>
      <c r="L21" s="22" t="s">
        <v>72</v>
      </c>
      <c r="M21" s="40"/>
      <c r="N21" s="21"/>
      <c r="O21" s="48"/>
      <c r="P21" s="40"/>
      <c r="Q21" s="22"/>
      <c r="R21" s="40"/>
      <c r="S21" s="40"/>
      <c r="T21" s="40"/>
      <c r="U21" s="21"/>
      <c r="V21" s="48"/>
      <c r="W21" s="21"/>
      <c r="X21" s="40"/>
      <c r="Y21" s="40"/>
      <c r="Z21" s="40"/>
      <c r="AA21" s="40"/>
      <c r="AB21" s="21"/>
      <c r="AC21" s="48"/>
      <c r="AD21" s="40"/>
      <c r="AE21" s="40"/>
      <c r="AF21" s="40"/>
      <c r="AG21" s="40"/>
      <c r="AH21" s="91"/>
      <c r="AI21" s="97"/>
      <c r="AJ21" s="48"/>
      <c r="AK21" s="156"/>
      <c r="AL21" s="61"/>
    </row>
    <row r="22" spans="1:41" s="11" customFormat="1" ht="16.5" customHeight="1">
      <c r="A22" s="230"/>
      <c r="B22" s="91"/>
      <c r="C22" s="22"/>
      <c r="D22" s="40"/>
      <c r="E22" s="21"/>
      <c r="F22" s="21"/>
      <c r="G22" s="21"/>
      <c r="H22" s="48"/>
      <c r="I22" s="40"/>
      <c r="J22" s="40"/>
      <c r="K22" s="40"/>
      <c r="L22" s="22" t="s">
        <v>73</v>
      </c>
      <c r="M22" s="40"/>
      <c r="N22" s="21"/>
      <c r="O22" s="48"/>
      <c r="P22" s="40"/>
      <c r="Q22" s="22"/>
      <c r="R22" s="40"/>
      <c r="S22" s="40"/>
      <c r="T22" s="40"/>
      <c r="U22" s="21"/>
      <c r="V22" s="48"/>
      <c r="W22" s="21"/>
      <c r="X22" s="40"/>
      <c r="Y22" s="40"/>
      <c r="Z22" s="40"/>
      <c r="AA22" s="40"/>
      <c r="AB22" s="21"/>
      <c r="AC22" s="48"/>
      <c r="AD22" s="40"/>
      <c r="AE22" s="40"/>
      <c r="AF22" s="40"/>
      <c r="AG22" s="40"/>
      <c r="AH22" s="91"/>
      <c r="AI22" s="97"/>
      <c r="AJ22" s="48"/>
      <c r="AK22" s="156"/>
      <c r="AL22" s="61"/>
    </row>
    <row r="23" spans="1:41" s="11" customFormat="1" ht="16.5" customHeight="1">
      <c r="A23" s="230"/>
      <c r="B23" s="91"/>
      <c r="C23" s="22"/>
      <c r="D23" s="40"/>
      <c r="E23" s="21"/>
      <c r="F23" s="21"/>
      <c r="G23" s="21"/>
      <c r="H23" s="48"/>
      <c r="I23" s="40"/>
      <c r="J23" s="40"/>
      <c r="K23" s="40"/>
      <c r="L23" s="22" t="s">
        <v>1150</v>
      </c>
      <c r="M23" s="40"/>
      <c r="N23" s="21"/>
      <c r="O23" s="48"/>
      <c r="P23" s="40"/>
      <c r="Q23" s="22"/>
      <c r="R23" s="40"/>
      <c r="S23" s="40"/>
      <c r="T23" s="40"/>
      <c r="U23" s="21"/>
      <c r="V23" s="48"/>
      <c r="W23" s="21"/>
      <c r="X23" s="40"/>
      <c r="Y23" s="40"/>
      <c r="Z23" s="40"/>
      <c r="AA23" s="40"/>
      <c r="AB23" s="21"/>
      <c r="AC23" s="48"/>
      <c r="AD23" s="40"/>
      <c r="AE23" s="40"/>
      <c r="AF23" s="40"/>
      <c r="AG23" s="40"/>
      <c r="AH23" s="91"/>
      <c r="AI23" s="97"/>
      <c r="AJ23" s="48"/>
      <c r="AK23" s="156"/>
      <c r="AL23" s="61"/>
    </row>
    <row r="24" spans="1:41" s="11" customFormat="1" ht="16.5" customHeight="1">
      <c r="A24" s="230"/>
      <c r="B24" s="24"/>
      <c r="C24" s="56"/>
      <c r="D24" s="24"/>
      <c r="E24" s="56"/>
      <c r="F24" s="24"/>
      <c r="G24" s="24">
        <f>1800+310+1500</f>
        <v>3610</v>
      </c>
      <c r="H24" s="25"/>
      <c r="I24" s="24"/>
      <c r="J24" s="24"/>
      <c r="K24" s="24"/>
      <c r="L24" s="233">
        <f>308+182+189+157+404+167+790+345+524+226+300+300+240+275</f>
        <v>4407</v>
      </c>
      <c r="M24" s="234"/>
      <c r="N24" s="24"/>
      <c r="O24" s="25"/>
      <c r="P24" s="24"/>
      <c r="Q24" s="24"/>
      <c r="R24" s="242">
        <f>158+300+103+112+275+3259+4458+5921</f>
        <v>14586</v>
      </c>
      <c r="S24" s="243"/>
      <c r="T24" s="233"/>
      <c r="U24" s="234"/>
      <c r="V24" s="25"/>
      <c r="W24" s="24"/>
      <c r="X24" s="24"/>
      <c r="Y24" s="24"/>
      <c r="Z24" s="24"/>
      <c r="AA24" s="24"/>
      <c r="AB24" s="24"/>
      <c r="AC24" s="25"/>
      <c r="AD24" s="24"/>
      <c r="AE24" s="24"/>
      <c r="AF24" s="24"/>
      <c r="AG24" s="242">
        <f>800+500+100+3215</f>
        <v>4615</v>
      </c>
      <c r="AH24" s="243"/>
      <c r="AI24" s="233"/>
      <c r="AJ24" s="234"/>
      <c r="AK24" s="24"/>
      <c r="AL24" s="106"/>
    </row>
    <row r="25" spans="1:41" s="11" customFormat="1" ht="2.25" customHeight="1">
      <c r="A25" s="26"/>
      <c r="B25" s="27"/>
      <c r="C25" s="27"/>
      <c r="D25" s="27"/>
      <c r="E25" s="28"/>
      <c r="F25" s="27"/>
      <c r="G25" s="44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44"/>
      <c r="AL25" s="30"/>
    </row>
    <row r="26" spans="1:41" s="11" customFormat="1" ht="19.5" customHeight="1">
      <c r="A26" s="12" t="s">
        <v>0</v>
      </c>
      <c r="B26" s="16"/>
      <c r="C26" s="16"/>
      <c r="D26" s="16"/>
      <c r="E26" s="16"/>
      <c r="F26" s="16"/>
      <c r="G26" s="16">
        <v>1040</v>
      </c>
      <c r="H26" s="25"/>
      <c r="I26" s="16">
        <v>1040</v>
      </c>
      <c r="J26" s="51">
        <v>1430</v>
      </c>
      <c r="K26" s="16">
        <v>1430</v>
      </c>
      <c r="L26" s="16">
        <v>1430</v>
      </c>
      <c r="M26" s="16">
        <v>1430</v>
      </c>
      <c r="N26" s="16">
        <v>1080</v>
      </c>
      <c r="O26" s="25"/>
      <c r="P26" s="16">
        <v>1080</v>
      </c>
      <c r="Q26" s="16">
        <v>1280</v>
      </c>
      <c r="R26" s="16">
        <v>1490</v>
      </c>
      <c r="S26" s="16">
        <v>1280</v>
      </c>
      <c r="T26" s="16">
        <v>1490</v>
      </c>
      <c r="U26" s="16">
        <v>1280</v>
      </c>
      <c r="V26" s="25"/>
      <c r="W26" s="16">
        <v>760</v>
      </c>
      <c r="X26" s="16">
        <v>760</v>
      </c>
      <c r="Y26" s="16">
        <v>760</v>
      </c>
      <c r="Z26" s="16">
        <v>760</v>
      </c>
      <c r="AA26" s="16">
        <v>760</v>
      </c>
      <c r="AB26" s="16">
        <v>760</v>
      </c>
      <c r="AC26" s="25"/>
      <c r="AD26" s="16">
        <v>760</v>
      </c>
      <c r="AE26" s="16">
        <v>760</v>
      </c>
      <c r="AF26" s="16">
        <v>760</v>
      </c>
      <c r="AG26" s="16">
        <v>760</v>
      </c>
      <c r="AH26" s="51">
        <v>760</v>
      </c>
      <c r="AI26" s="16">
        <v>640</v>
      </c>
      <c r="AJ26" s="25"/>
      <c r="AK26" s="16">
        <v>640</v>
      </c>
      <c r="AL26" s="16">
        <v>640</v>
      </c>
      <c r="AM26" s="17">
        <f>+SUM(B26:AL26)</f>
        <v>27060</v>
      </c>
    </row>
    <row r="27" spans="1:41" s="17" customFormat="1" ht="19.5" customHeight="1">
      <c r="A27" s="12" t="s">
        <v>18</v>
      </c>
      <c r="B27" s="122">
        <v>11</v>
      </c>
      <c r="C27" s="122">
        <v>11</v>
      </c>
      <c r="D27" s="122">
        <v>11</v>
      </c>
      <c r="E27" s="122">
        <v>11</v>
      </c>
      <c r="F27" s="122">
        <v>8</v>
      </c>
      <c r="G27" s="122">
        <v>8</v>
      </c>
      <c r="H27" s="25"/>
      <c r="I27" s="18">
        <v>11</v>
      </c>
      <c r="J27" s="18">
        <v>11</v>
      </c>
      <c r="K27" s="18">
        <v>11</v>
      </c>
      <c r="L27" s="18">
        <v>11</v>
      </c>
      <c r="M27" s="18">
        <v>8</v>
      </c>
      <c r="N27" s="18">
        <v>8</v>
      </c>
      <c r="O27" s="25"/>
      <c r="P27" s="18">
        <v>9.5</v>
      </c>
      <c r="Q27" s="18">
        <v>11</v>
      </c>
      <c r="R27" s="18">
        <v>9.5</v>
      </c>
      <c r="S27" s="18">
        <v>11</v>
      </c>
      <c r="T27" s="18">
        <v>9.5</v>
      </c>
      <c r="U27" s="18">
        <v>9.5</v>
      </c>
      <c r="V27" s="25"/>
      <c r="W27" s="192">
        <v>9.5</v>
      </c>
      <c r="X27" s="192">
        <v>9.5</v>
      </c>
      <c r="Y27" s="192">
        <v>9.5</v>
      </c>
      <c r="Z27" s="192">
        <v>9.5</v>
      </c>
      <c r="AA27" s="192">
        <v>9.5</v>
      </c>
      <c r="AB27" s="192">
        <v>9.5</v>
      </c>
      <c r="AC27" s="193"/>
      <c r="AD27" s="192">
        <v>9.5</v>
      </c>
      <c r="AE27" s="192">
        <v>9.5</v>
      </c>
      <c r="AF27" s="192">
        <v>9.5</v>
      </c>
      <c r="AG27" s="192">
        <v>9.5</v>
      </c>
      <c r="AH27" s="18">
        <v>8</v>
      </c>
      <c r="AI27" s="18">
        <v>8</v>
      </c>
      <c r="AJ27" s="25"/>
      <c r="AK27" s="18">
        <v>8</v>
      </c>
      <c r="AL27" s="18">
        <v>8</v>
      </c>
    </row>
    <row r="28" spans="1:41" s="17" customFormat="1" ht="17.25" customHeight="1">
      <c r="A28" s="2" t="s">
        <v>19</v>
      </c>
      <c r="B28" s="41"/>
      <c r="C28" s="41"/>
      <c r="D28" s="41"/>
      <c r="E28" s="41"/>
      <c r="F28" s="41"/>
      <c r="G28" s="66" t="s">
        <v>1544</v>
      </c>
      <c r="H28" s="25"/>
      <c r="I28" s="41"/>
      <c r="J28" s="41"/>
      <c r="K28" s="41"/>
      <c r="L28" s="66"/>
      <c r="M28" s="41"/>
      <c r="N28" s="41"/>
      <c r="O28" s="25"/>
      <c r="P28" s="41"/>
      <c r="Q28" s="41"/>
      <c r="R28" s="41"/>
      <c r="S28" s="41"/>
      <c r="T28" s="41"/>
      <c r="U28" s="66"/>
      <c r="V28" s="25"/>
      <c r="W28" s="66" t="s">
        <v>70</v>
      </c>
      <c r="X28" s="41"/>
      <c r="Y28" s="41"/>
      <c r="Z28" s="41"/>
      <c r="AA28" s="41"/>
      <c r="AB28" s="41"/>
      <c r="AC28" s="25"/>
      <c r="AD28" s="41"/>
      <c r="AE28" s="41"/>
      <c r="AF28" s="41"/>
      <c r="AG28" s="41"/>
      <c r="AH28" s="41"/>
      <c r="AI28" s="41"/>
      <c r="AJ28" s="25"/>
      <c r="AK28" s="41"/>
      <c r="AL28" s="60"/>
    </row>
    <row r="29" spans="1:41" s="17" customFormat="1" ht="17.25" customHeight="1">
      <c r="A29" s="2" t="s">
        <v>20</v>
      </c>
      <c r="B29" s="20"/>
      <c r="C29" s="20"/>
      <c r="D29" s="20"/>
      <c r="E29" s="20"/>
      <c r="F29" s="20"/>
      <c r="G29" s="20"/>
      <c r="H29" s="25"/>
      <c r="I29" s="20"/>
      <c r="J29" s="20"/>
      <c r="K29" s="20"/>
      <c r="L29" s="20"/>
      <c r="M29" s="20"/>
      <c r="N29" s="20"/>
      <c r="O29" s="25"/>
      <c r="P29" s="20"/>
      <c r="Q29" s="20"/>
      <c r="R29" s="20"/>
      <c r="S29" s="20"/>
      <c r="T29" s="20"/>
      <c r="U29" s="20"/>
      <c r="V29" s="25"/>
      <c r="W29" s="20"/>
      <c r="X29" s="20"/>
      <c r="Y29" s="20"/>
      <c r="Z29" s="20"/>
      <c r="AA29" s="20"/>
      <c r="AB29" s="20"/>
      <c r="AC29" s="25"/>
      <c r="AD29" s="20"/>
      <c r="AE29" s="20"/>
      <c r="AF29" s="20"/>
      <c r="AG29" s="20"/>
      <c r="AH29" s="20"/>
      <c r="AI29" s="20"/>
      <c r="AJ29" s="25"/>
      <c r="AK29" s="20"/>
      <c r="AL29" s="60"/>
      <c r="AO29" s="50"/>
    </row>
    <row r="30" spans="1:41" s="11" customFormat="1" ht="16.5" customHeight="1">
      <c r="A30" s="229" t="s">
        <v>43</v>
      </c>
      <c r="B30" s="46"/>
      <c r="C30" s="49"/>
      <c r="D30" s="40"/>
      <c r="E30" s="47"/>
      <c r="F30" s="47"/>
      <c r="G30" s="50" t="s">
        <v>815</v>
      </c>
      <c r="H30" s="48"/>
      <c r="I30" s="40"/>
      <c r="J30" s="40"/>
      <c r="K30" s="50"/>
      <c r="L30" s="40"/>
      <c r="M30" s="40"/>
      <c r="N30" s="50"/>
      <c r="O30" s="48"/>
      <c r="P30" s="50"/>
      <c r="Q30" s="50"/>
      <c r="S30" s="40"/>
      <c r="V30" s="48"/>
      <c r="W30" s="50"/>
      <c r="X30" s="40"/>
      <c r="Y30" s="40"/>
      <c r="Z30" s="40"/>
      <c r="AA30" s="50" t="s">
        <v>1304</v>
      </c>
      <c r="AC30" s="48"/>
      <c r="AG30" s="50"/>
      <c r="AH30" s="50" t="s">
        <v>1304</v>
      </c>
      <c r="AI30" s="47"/>
      <c r="AJ30" s="48"/>
      <c r="AK30" s="62"/>
      <c r="AL30" s="61"/>
    </row>
    <row r="31" spans="1:41" s="11" customFormat="1" ht="16.5" customHeight="1">
      <c r="A31" s="230"/>
      <c r="B31" s="22"/>
      <c r="C31" s="22"/>
      <c r="D31" s="40"/>
      <c r="E31" s="40"/>
      <c r="F31" s="21"/>
      <c r="G31" s="171" t="s">
        <v>1543</v>
      </c>
      <c r="H31" s="48"/>
      <c r="I31" s="40"/>
      <c r="J31" s="40"/>
      <c r="K31" s="22"/>
      <c r="L31" s="40"/>
      <c r="M31" s="40"/>
      <c r="N31" s="40"/>
      <c r="O31" s="48"/>
      <c r="P31" s="40"/>
      <c r="Q31" s="40"/>
      <c r="R31" s="40"/>
      <c r="S31" s="40"/>
      <c r="T31" s="40"/>
      <c r="U31" s="40"/>
      <c r="V31" s="48"/>
      <c r="W31" s="22"/>
      <c r="X31" s="40"/>
      <c r="Y31" s="40"/>
      <c r="Z31" s="40"/>
      <c r="AA31" s="22" t="s">
        <v>861</v>
      </c>
      <c r="AC31" s="48"/>
      <c r="AD31" s="40"/>
      <c r="AE31" s="40"/>
      <c r="AF31" s="40"/>
      <c r="AG31" s="22"/>
      <c r="AH31" s="22" t="s">
        <v>867</v>
      </c>
      <c r="AI31" s="21"/>
      <c r="AJ31" s="48"/>
      <c r="AK31" s="58"/>
      <c r="AL31" s="61"/>
    </row>
    <row r="32" spans="1:41" s="11" customFormat="1" ht="16.5" customHeight="1">
      <c r="A32" s="230"/>
      <c r="B32" s="22"/>
      <c r="C32" s="22"/>
      <c r="D32" s="40"/>
      <c r="E32" s="40"/>
      <c r="F32" s="21"/>
      <c r="G32" s="195" t="s">
        <v>1636</v>
      </c>
      <c r="H32" s="48"/>
      <c r="I32" s="40"/>
      <c r="J32" s="40"/>
      <c r="K32" s="22"/>
      <c r="L32" s="40"/>
      <c r="N32" s="40"/>
      <c r="O32" s="48"/>
      <c r="P32" s="40"/>
      <c r="Q32" s="40"/>
      <c r="R32" s="40"/>
      <c r="S32" s="40"/>
      <c r="T32" s="22"/>
      <c r="U32" s="40"/>
      <c r="V32" s="48"/>
      <c r="W32" s="22"/>
      <c r="X32" s="40"/>
      <c r="Y32" s="40"/>
      <c r="Z32" s="40"/>
      <c r="AA32" s="22" t="s">
        <v>859</v>
      </c>
      <c r="AC32" s="48"/>
      <c r="AD32" s="40"/>
      <c r="AE32" s="40"/>
      <c r="AF32" s="40"/>
      <c r="AG32" s="22"/>
      <c r="AH32" s="22" t="s">
        <v>826</v>
      </c>
      <c r="AI32" s="21"/>
      <c r="AJ32" s="48"/>
      <c r="AK32" s="58"/>
      <c r="AL32" s="61"/>
    </row>
    <row r="33" spans="1:38" s="11" customFormat="1" ht="16.5" customHeight="1">
      <c r="A33" s="230"/>
      <c r="B33" s="22"/>
      <c r="C33" s="22"/>
      <c r="D33" s="40"/>
      <c r="E33" s="40"/>
      <c r="F33" s="21"/>
      <c r="G33" s="213" t="s">
        <v>1384</v>
      </c>
      <c r="H33" s="48"/>
      <c r="I33" s="40"/>
      <c r="J33" s="40"/>
      <c r="K33" s="22"/>
      <c r="L33" s="40"/>
      <c r="N33" s="40"/>
      <c r="O33" s="48"/>
      <c r="P33" s="40"/>
      <c r="Q33" s="40"/>
      <c r="R33" s="40"/>
      <c r="S33" s="40"/>
      <c r="T33" s="22"/>
      <c r="U33" s="40"/>
      <c r="V33" s="48"/>
      <c r="W33" s="22"/>
      <c r="X33" s="40"/>
      <c r="Y33" s="40"/>
      <c r="Z33" s="40"/>
      <c r="AA33" s="22" t="s">
        <v>860</v>
      </c>
      <c r="AC33" s="48"/>
      <c r="AD33" s="40"/>
      <c r="AE33" s="40"/>
      <c r="AF33" s="40"/>
      <c r="AG33" s="22"/>
      <c r="AH33" s="22" t="s">
        <v>827</v>
      </c>
      <c r="AI33" s="21"/>
      <c r="AJ33" s="48"/>
      <c r="AK33" s="58"/>
      <c r="AL33" s="61"/>
    </row>
    <row r="34" spans="1:38" s="11" customFormat="1" ht="16.5" customHeight="1">
      <c r="A34" s="230"/>
      <c r="B34" s="22"/>
      <c r="C34" s="22"/>
      <c r="D34" s="40"/>
      <c r="E34" s="40"/>
      <c r="F34" s="21"/>
      <c r="G34" s="171" t="s">
        <v>1535</v>
      </c>
      <c r="H34" s="48"/>
      <c r="I34" s="40"/>
      <c r="J34" s="40"/>
      <c r="K34" s="22"/>
      <c r="L34" s="40"/>
      <c r="N34" s="40"/>
      <c r="O34" s="48"/>
      <c r="P34" s="40"/>
      <c r="Q34" s="40"/>
      <c r="R34" s="22"/>
      <c r="S34" s="40"/>
      <c r="T34" s="22"/>
      <c r="U34" s="40"/>
      <c r="V34" s="48"/>
      <c r="W34" s="22"/>
      <c r="X34" s="40"/>
      <c r="Y34" s="40"/>
      <c r="Z34" s="40"/>
      <c r="AA34" s="22" t="s">
        <v>864</v>
      </c>
      <c r="AC34" s="48"/>
      <c r="AD34" s="40"/>
      <c r="AE34" s="40"/>
      <c r="AF34" s="40"/>
      <c r="AG34" s="22"/>
      <c r="AH34" s="22" t="s">
        <v>828</v>
      </c>
      <c r="AI34" s="21"/>
      <c r="AJ34" s="48"/>
      <c r="AK34" s="58"/>
      <c r="AL34" s="61"/>
    </row>
    <row r="35" spans="1:38" s="11" customFormat="1" ht="16.5" customHeight="1">
      <c r="A35" s="230"/>
      <c r="B35" s="22"/>
      <c r="C35" s="22"/>
      <c r="D35" s="40"/>
      <c r="E35" s="40"/>
      <c r="F35" s="21"/>
      <c r="G35" s="171" t="s">
        <v>1536</v>
      </c>
      <c r="H35" s="48"/>
      <c r="I35" s="40"/>
      <c r="J35" s="40"/>
      <c r="K35" s="22"/>
      <c r="L35" s="40"/>
      <c r="N35" s="40"/>
      <c r="O35" s="48"/>
      <c r="P35" s="40"/>
      <c r="Q35" s="40"/>
      <c r="R35" s="22"/>
      <c r="S35" s="40"/>
      <c r="T35" s="22"/>
      <c r="U35" s="40"/>
      <c r="V35" s="48"/>
      <c r="W35" s="22"/>
      <c r="X35" s="40"/>
      <c r="Y35" s="40"/>
      <c r="Z35" s="40"/>
      <c r="AA35" s="22" t="s">
        <v>865</v>
      </c>
      <c r="AC35" s="48"/>
      <c r="AD35" s="40"/>
      <c r="AE35" s="40"/>
      <c r="AF35" s="40"/>
      <c r="AG35" s="22"/>
      <c r="AH35" s="22" t="s">
        <v>829</v>
      </c>
      <c r="AI35" s="21"/>
      <c r="AJ35" s="48"/>
      <c r="AK35" s="58"/>
      <c r="AL35" s="61"/>
    </row>
    <row r="36" spans="1:38" s="11" customFormat="1" ht="16.5" customHeight="1">
      <c r="A36" s="230"/>
      <c r="B36" s="91" t="s">
        <v>909</v>
      </c>
      <c r="C36" s="22"/>
      <c r="D36" s="40"/>
      <c r="E36" s="40"/>
      <c r="F36" s="21"/>
      <c r="G36" s="163" t="s">
        <v>1542</v>
      </c>
      <c r="H36" s="48"/>
      <c r="I36" s="40"/>
      <c r="J36" s="40"/>
      <c r="K36" s="22"/>
      <c r="L36" s="40"/>
      <c r="N36" s="40"/>
      <c r="O36" s="48"/>
      <c r="P36" s="40"/>
      <c r="Q36" s="40"/>
      <c r="R36" s="22"/>
      <c r="S36" s="40"/>
      <c r="T36" s="22"/>
      <c r="U36" s="40"/>
      <c r="V36" s="48"/>
      <c r="W36" s="22"/>
      <c r="X36" s="40"/>
      <c r="Y36" s="40"/>
      <c r="Z36" s="40"/>
      <c r="AA36" s="22" t="s">
        <v>866</v>
      </c>
      <c r="AC36" s="48"/>
      <c r="AD36" s="40"/>
      <c r="AE36" s="40"/>
      <c r="AF36" s="40"/>
      <c r="AG36" s="40"/>
      <c r="AI36" s="21"/>
      <c r="AJ36" s="231">
        <f>+SUM(B48:AL48)</f>
        <v>29448</v>
      </c>
      <c r="AK36" s="232"/>
      <c r="AL36" s="23" t="s">
        <v>1</v>
      </c>
    </row>
    <row r="37" spans="1:38" s="11" customFormat="1" ht="16.5" customHeight="1">
      <c r="A37" s="230"/>
      <c r="C37" s="22"/>
      <c r="D37" s="40"/>
      <c r="E37" s="40"/>
      <c r="F37" s="21"/>
      <c r="G37" s="195" t="s">
        <v>1365</v>
      </c>
      <c r="H37" s="48"/>
      <c r="I37" s="40"/>
      <c r="J37" s="50"/>
      <c r="K37" s="22"/>
      <c r="L37" s="40"/>
      <c r="N37" s="40"/>
      <c r="O37" s="48"/>
      <c r="P37" s="40"/>
      <c r="Q37" s="40"/>
      <c r="R37" s="22"/>
      <c r="S37" s="40"/>
      <c r="T37" s="40"/>
      <c r="U37" s="40"/>
      <c r="V37" s="48"/>
      <c r="W37" s="22"/>
      <c r="X37" s="40"/>
      <c r="Y37" s="40"/>
      <c r="Z37" s="40"/>
      <c r="AA37" s="42" t="s">
        <v>833</v>
      </c>
      <c r="AC37" s="48"/>
      <c r="AD37" s="40"/>
      <c r="AE37" s="40"/>
      <c r="AF37" s="40"/>
      <c r="AG37" s="22"/>
      <c r="AH37" s="22" t="s">
        <v>830</v>
      </c>
      <c r="AI37" s="21"/>
      <c r="AJ37" s="48"/>
      <c r="AK37" s="58"/>
      <c r="AL37" s="61"/>
    </row>
    <row r="38" spans="1:38" s="11" customFormat="1" ht="16.5" customHeight="1">
      <c r="A38" s="230"/>
      <c r="B38" s="22"/>
      <c r="C38" s="22"/>
      <c r="D38" s="40"/>
      <c r="E38" s="40"/>
      <c r="F38" s="21"/>
      <c r="G38" s="42" t="s">
        <v>1303</v>
      </c>
      <c r="H38" s="48"/>
      <c r="I38" s="40"/>
      <c r="J38" s="40"/>
      <c r="K38" s="22"/>
      <c r="L38" s="40"/>
      <c r="N38" s="40"/>
      <c r="O38" s="48"/>
      <c r="P38" s="40"/>
      <c r="Q38" s="40"/>
      <c r="R38" s="22"/>
      <c r="S38" s="40"/>
      <c r="T38" s="40"/>
      <c r="U38" s="40"/>
      <c r="V38" s="48"/>
      <c r="W38" s="40"/>
      <c r="X38" s="40"/>
      <c r="Y38" s="40"/>
      <c r="Z38" s="40"/>
      <c r="AA38" s="171" t="s">
        <v>1629</v>
      </c>
      <c r="AC38" s="48"/>
      <c r="AD38" s="40"/>
      <c r="AE38" s="40"/>
      <c r="AF38" s="40"/>
      <c r="AG38" s="22"/>
      <c r="AH38" s="22" t="s">
        <v>831</v>
      </c>
      <c r="AI38" s="21"/>
      <c r="AJ38" s="48"/>
      <c r="AK38" s="58"/>
      <c r="AL38" s="61"/>
    </row>
    <row r="39" spans="1:38" s="11" customFormat="1" ht="16.5" customHeight="1">
      <c r="A39" s="230"/>
      <c r="B39" s="22"/>
      <c r="C39" s="22"/>
      <c r="D39" s="40"/>
      <c r="E39" s="40"/>
      <c r="F39" s="21"/>
      <c r="G39" s="22" t="s">
        <v>1270</v>
      </c>
      <c r="H39" s="48"/>
      <c r="I39" s="40"/>
      <c r="J39" s="40"/>
      <c r="K39" s="22"/>
      <c r="L39" s="40"/>
      <c r="N39" s="40"/>
      <c r="O39" s="48"/>
      <c r="P39" s="40"/>
      <c r="Q39" s="40"/>
      <c r="R39" s="22"/>
      <c r="S39" s="40"/>
      <c r="T39" s="40"/>
      <c r="U39" s="40"/>
      <c r="V39" s="48"/>
      <c r="W39" s="40"/>
      <c r="X39" s="40"/>
      <c r="Y39" s="40"/>
      <c r="Z39" s="40"/>
      <c r="AA39" s="171" t="s">
        <v>1630</v>
      </c>
      <c r="AC39" s="48"/>
      <c r="AD39" s="40"/>
      <c r="AE39" s="40"/>
      <c r="AF39" s="40"/>
      <c r="AG39" s="22"/>
      <c r="AH39" s="22"/>
      <c r="AI39" s="21"/>
      <c r="AJ39" s="48"/>
      <c r="AK39" s="58"/>
      <c r="AL39" s="61"/>
    </row>
    <row r="40" spans="1:38" s="11" customFormat="1" ht="16.5" customHeight="1">
      <c r="A40" s="230"/>
      <c r="B40" s="22"/>
      <c r="C40" s="22"/>
      <c r="D40" s="40"/>
      <c r="E40" s="40"/>
      <c r="F40" s="21"/>
      <c r="G40" s="228" t="s">
        <v>1650</v>
      </c>
      <c r="H40" s="48"/>
      <c r="I40" s="40"/>
      <c r="J40" s="40"/>
      <c r="K40" s="22"/>
      <c r="L40" s="40"/>
      <c r="N40" s="40"/>
      <c r="O40" s="48"/>
      <c r="P40" s="40"/>
      <c r="Q40" s="40"/>
      <c r="R40" s="22"/>
      <c r="S40" s="40"/>
      <c r="T40" s="40"/>
      <c r="U40" s="40"/>
      <c r="V40" s="48"/>
      <c r="W40" s="40"/>
      <c r="X40" s="40"/>
      <c r="Y40" s="40"/>
      <c r="Z40" s="40"/>
      <c r="AA40" s="171"/>
      <c r="AC40" s="48"/>
      <c r="AD40" s="40"/>
      <c r="AE40" s="40"/>
      <c r="AF40" s="40"/>
      <c r="AG40" s="22"/>
      <c r="AH40" s="22"/>
      <c r="AI40" s="21"/>
      <c r="AJ40" s="48"/>
      <c r="AK40" s="58"/>
      <c r="AL40" s="61"/>
    </row>
    <row r="41" spans="1:38" s="11" customFormat="1" ht="16.5" customHeight="1">
      <c r="A41" s="230"/>
      <c r="B41" s="22"/>
      <c r="C41" s="22"/>
      <c r="D41" s="40"/>
      <c r="E41" s="40"/>
      <c r="F41" s="21"/>
      <c r="G41" s="50" t="s">
        <v>815</v>
      </c>
      <c r="H41" s="48"/>
      <c r="I41" s="40"/>
      <c r="J41" s="40"/>
      <c r="K41" s="22"/>
      <c r="L41" s="40"/>
      <c r="N41" s="40"/>
      <c r="O41" s="48"/>
      <c r="P41" s="40"/>
      <c r="Q41" s="40"/>
      <c r="R41" s="22"/>
      <c r="S41" s="40"/>
      <c r="T41" s="40"/>
      <c r="U41" s="40"/>
      <c r="V41" s="48"/>
      <c r="W41" s="40"/>
      <c r="X41" s="40"/>
      <c r="Y41" s="40"/>
      <c r="Z41" s="40"/>
      <c r="AA41" s="171"/>
      <c r="AC41" s="48"/>
      <c r="AD41" s="40"/>
      <c r="AE41" s="40"/>
      <c r="AF41" s="40"/>
      <c r="AG41" s="22"/>
      <c r="AH41" s="22"/>
      <c r="AI41" s="21"/>
      <c r="AJ41" s="48"/>
      <c r="AK41" s="58"/>
      <c r="AL41" s="61"/>
    </row>
    <row r="42" spans="1:38" s="11" customFormat="1" ht="16.5" customHeight="1">
      <c r="A42" s="230"/>
      <c r="B42" s="22"/>
      <c r="C42" s="22"/>
      <c r="D42" s="40"/>
      <c r="E42" s="40"/>
      <c r="F42" s="21"/>
      <c r="G42" s="22" t="s">
        <v>856</v>
      </c>
      <c r="H42" s="48"/>
      <c r="I42" s="40"/>
      <c r="J42" s="40"/>
      <c r="K42" s="22"/>
      <c r="L42" s="40"/>
      <c r="N42" s="40"/>
      <c r="O42" s="48"/>
      <c r="P42" s="40"/>
      <c r="Q42" s="40"/>
      <c r="R42" s="22"/>
      <c r="S42" s="40"/>
      <c r="T42" s="40"/>
      <c r="U42" s="40"/>
      <c r="V42" s="48"/>
      <c r="W42" s="40"/>
      <c r="X42" s="40"/>
      <c r="Y42" s="40"/>
      <c r="Z42" s="40"/>
      <c r="AA42" s="171"/>
      <c r="AB42" s="40"/>
      <c r="AC42" s="48"/>
      <c r="AD42" s="40"/>
      <c r="AE42" s="40"/>
      <c r="AF42" s="40"/>
      <c r="AG42" s="22"/>
      <c r="AH42" s="22" t="s">
        <v>832</v>
      </c>
      <c r="AI42" s="21"/>
      <c r="AJ42" s="48"/>
      <c r="AK42" s="58"/>
      <c r="AL42" s="61"/>
    </row>
    <row r="43" spans="1:38" s="11" customFormat="1" ht="16.5" customHeight="1">
      <c r="A43" s="230"/>
      <c r="B43" s="22"/>
      <c r="C43" s="22"/>
      <c r="D43" s="40"/>
      <c r="E43" s="40"/>
      <c r="F43" s="21"/>
      <c r="G43" s="22" t="s">
        <v>855</v>
      </c>
      <c r="H43" s="48"/>
      <c r="I43" s="40"/>
      <c r="J43" s="40"/>
      <c r="K43" s="22"/>
      <c r="L43" s="40"/>
      <c r="M43" s="40"/>
      <c r="N43" s="40"/>
      <c r="O43" s="48"/>
      <c r="P43" s="40"/>
      <c r="Q43" s="40"/>
      <c r="R43" s="22"/>
      <c r="S43" s="40"/>
      <c r="T43" s="40"/>
      <c r="U43" s="40"/>
      <c r="V43" s="48"/>
      <c r="W43" s="40"/>
      <c r="X43" s="40"/>
      <c r="Y43" s="40"/>
      <c r="Z43" s="40"/>
      <c r="AA43" s="40"/>
      <c r="AB43" s="40"/>
      <c r="AC43" s="48"/>
      <c r="AD43" s="40"/>
      <c r="AE43" s="40"/>
      <c r="AF43" s="40"/>
      <c r="AG43" s="22"/>
      <c r="AH43" s="22" t="s">
        <v>1154</v>
      </c>
      <c r="AI43" s="21"/>
      <c r="AJ43" s="48"/>
      <c r="AK43" s="58"/>
      <c r="AL43" s="61"/>
    </row>
    <row r="44" spans="1:38" s="11" customFormat="1" ht="16.5" customHeight="1">
      <c r="A44" s="230"/>
      <c r="B44" s="22"/>
      <c r="C44" s="22"/>
      <c r="D44" s="40"/>
      <c r="E44" s="40"/>
      <c r="F44" s="21"/>
      <c r="G44" s="42" t="s">
        <v>885</v>
      </c>
      <c r="H44" s="48"/>
      <c r="I44" s="40"/>
      <c r="J44" s="40"/>
      <c r="K44" s="22"/>
      <c r="L44" s="40"/>
      <c r="M44" s="40"/>
      <c r="N44" s="40"/>
      <c r="O44" s="48"/>
      <c r="P44" s="40"/>
      <c r="R44" s="22"/>
      <c r="S44" s="40"/>
      <c r="T44" s="40"/>
      <c r="U44" s="40"/>
      <c r="V44" s="48"/>
      <c r="W44" s="40"/>
      <c r="X44" s="40"/>
      <c r="Y44" s="40"/>
      <c r="Z44" s="40"/>
      <c r="AA44" s="40"/>
      <c r="AB44" s="40"/>
      <c r="AC44" s="48"/>
      <c r="AD44" s="40"/>
      <c r="AE44" s="40"/>
      <c r="AF44" s="40"/>
      <c r="AG44" s="22"/>
      <c r="AH44" s="22" t="s">
        <v>1155</v>
      </c>
      <c r="AI44" s="21"/>
      <c r="AJ44" s="48"/>
      <c r="AK44" s="58"/>
      <c r="AL44" s="61"/>
    </row>
    <row r="45" spans="1:38" s="11" customFormat="1" ht="16.5" customHeight="1">
      <c r="A45" s="230"/>
      <c r="B45" s="22"/>
      <c r="C45" s="55"/>
      <c r="D45" s="40"/>
      <c r="E45" s="21"/>
      <c r="F45" s="21"/>
      <c r="G45" s="171" t="s">
        <v>1277</v>
      </c>
      <c r="H45" s="48"/>
      <c r="I45" s="40"/>
      <c r="J45" s="40"/>
      <c r="K45" s="22"/>
      <c r="L45" s="40"/>
      <c r="M45" s="40"/>
      <c r="N45" s="40"/>
      <c r="O45" s="48"/>
      <c r="P45" s="40"/>
      <c r="R45" s="40"/>
      <c r="S45" s="40"/>
      <c r="T45" s="40"/>
      <c r="U45" s="40"/>
      <c r="V45" s="48"/>
      <c r="W45" s="40"/>
      <c r="X45" s="40"/>
      <c r="Y45" s="40"/>
      <c r="Z45" s="40"/>
      <c r="AA45" s="40"/>
      <c r="AB45" s="40"/>
      <c r="AC45" s="48"/>
      <c r="AD45" s="40"/>
      <c r="AE45" s="187"/>
      <c r="AF45" s="40"/>
      <c r="AG45" s="40"/>
      <c r="AH45" s="97"/>
      <c r="AI45" s="97"/>
      <c r="AJ45" s="48"/>
      <c r="AK45" s="58"/>
      <c r="AL45" s="61"/>
    </row>
    <row r="46" spans="1:38" s="11" customFormat="1" ht="16.5" customHeight="1">
      <c r="A46" s="230"/>
      <c r="B46" s="22"/>
      <c r="C46" s="55"/>
      <c r="D46" s="40"/>
      <c r="E46" s="21"/>
      <c r="F46" s="21"/>
      <c r="G46" s="194" t="s">
        <v>1276</v>
      </c>
      <c r="H46" s="98"/>
      <c r="I46" s="40"/>
      <c r="J46" s="40"/>
      <c r="K46" s="22"/>
      <c r="L46" s="40"/>
      <c r="M46" s="40"/>
      <c r="N46" s="40"/>
      <c r="O46" s="48"/>
      <c r="P46" s="40"/>
      <c r="Q46" s="40"/>
      <c r="R46" s="40"/>
      <c r="S46" s="40"/>
      <c r="T46" s="40"/>
      <c r="U46" s="40"/>
      <c r="V46" s="48"/>
      <c r="W46" s="40"/>
      <c r="X46" s="40"/>
      <c r="Y46" s="40"/>
      <c r="Z46" s="40"/>
      <c r="AA46" s="40"/>
      <c r="AB46" s="40"/>
      <c r="AC46" s="48"/>
      <c r="AD46" s="40"/>
      <c r="AE46" s="187"/>
      <c r="AF46" s="40"/>
      <c r="AG46" s="40"/>
      <c r="AH46" s="97"/>
      <c r="AI46" s="97" t="s">
        <v>1576</v>
      </c>
      <c r="AJ46" s="48"/>
      <c r="AK46" s="58"/>
      <c r="AL46" s="61"/>
    </row>
    <row r="47" spans="1:38" s="11" customFormat="1" ht="16.5" customHeight="1">
      <c r="A47" s="230"/>
      <c r="B47" s="22"/>
      <c r="C47" s="55"/>
      <c r="D47" s="40"/>
      <c r="E47" s="21"/>
      <c r="F47" s="21"/>
      <c r="G47" s="171" t="s">
        <v>1283</v>
      </c>
      <c r="H47" s="98"/>
      <c r="I47" s="40"/>
      <c r="J47" s="40"/>
      <c r="K47" s="22"/>
      <c r="L47" s="40"/>
      <c r="M47" s="40"/>
      <c r="N47" s="40"/>
      <c r="O47" s="48"/>
      <c r="P47" s="40"/>
      <c r="Q47" s="40"/>
      <c r="R47" s="40"/>
      <c r="S47" s="40"/>
      <c r="T47" s="40"/>
      <c r="U47" s="40"/>
      <c r="V47" s="48"/>
      <c r="W47" s="40"/>
      <c r="X47" s="40"/>
      <c r="Y47" s="40"/>
      <c r="Z47" s="40"/>
      <c r="AA47" s="40"/>
      <c r="AB47" s="40"/>
      <c r="AC47" s="48"/>
      <c r="AD47" s="40"/>
      <c r="AE47" s="187"/>
      <c r="AF47" s="40"/>
      <c r="AG47" s="40"/>
      <c r="AH47" s="97"/>
      <c r="AI47" s="97"/>
      <c r="AJ47" s="48"/>
      <c r="AK47" s="58"/>
      <c r="AL47" s="227"/>
    </row>
    <row r="48" spans="1:38" s="11" customFormat="1" ht="16.5" customHeight="1">
      <c r="A48" s="230"/>
      <c r="B48" s="24"/>
      <c r="C48" s="56"/>
      <c r="D48" s="24"/>
      <c r="E48" s="56"/>
      <c r="F48" s="24"/>
      <c r="G48" s="233">
        <f>3000+290+338+960+324+2000+750+450+5000+5000+2202</f>
        <v>20314</v>
      </c>
      <c r="H48" s="23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5"/>
      <c r="W48" s="185"/>
      <c r="X48" s="56"/>
      <c r="Y48" s="56"/>
      <c r="Z48" s="24"/>
      <c r="AA48" s="24">
        <f>2635+322+327+104+312+321+507+344</f>
        <v>4872</v>
      </c>
      <c r="AB48" s="20"/>
      <c r="AC48" s="25"/>
      <c r="AD48" s="24"/>
      <c r="AE48" s="24"/>
      <c r="AF48" s="24"/>
      <c r="AG48" s="24"/>
      <c r="AH48" s="242">
        <f>659+102+336+301+100+1055+837+422+103+347</f>
        <v>4262</v>
      </c>
      <c r="AI48" s="243"/>
      <c r="AJ48" s="24"/>
      <c r="AK48" s="24"/>
      <c r="AL48" s="24"/>
    </row>
    <row r="49" spans="1:40" s="11" customFormat="1" ht="2.25" customHeight="1">
      <c r="A49" s="26"/>
      <c r="B49" s="27"/>
      <c r="C49" s="27"/>
      <c r="D49" s="27"/>
      <c r="E49" s="28"/>
      <c r="F49" s="27"/>
      <c r="G49" s="44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44"/>
      <c r="AL49" s="30"/>
    </row>
    <row r="50" spans="1:40" s="11" customFormat="1" ht="19.5" customHeight="1">
      <c r="A50" s="12" t="s">
        <v>0</v>
      </c>
      <c r="B50" s="16"/>
      <c r="C50" s="16"/>
      <c r="D50" s="16"/>
      <c r="E50" s="16"/>
      <c r="F50" s="16"/>
      <c r="G50" s="16">
        <v>1160</v>
      </c>
      <c r="H50" s="25"/>
      <c r="I50" s="16">
        <v>1160</v>
      </c>
      <c r="J50" s="16">
        <v>1600</v>
      </c>
      <c r="K50" s="51">
        <v>1600</v>
      </c>
      <c r="L50" s="16">
        <v>1600</v>
      </c>
      <c r="M50" s="16">
        <v>1600</v>
      </c>
      <c r="N50" s="16">
        <v>1160</v>
      </c>
      <c r="O50" s="25"/>
      <c r="P50" s="16">
        <v>1160</v>
      </c>
      <c r="Q50" s="16">
        <v>1380</v>
      </c>
      <c r="R50" s="16">
        <v>1600</v>
      </c>
      <c r="S50" s="16">
        <v>1380</v>
      </c>
      <c r="T50" s="51">
        <v>1600</v>
      </c>
      <c r="U50" s="16">
        <v>1380</v>
      </c>
      <c r="V50" s="25"/>
      <c r="W50" s="16">
        <v>1380</v>
      </c>
      <c r="X50" s="16">
        <v>1380</v>
      </c>
      <c r="Y50" s="16">
        <v>1380</v>
      </c>
      <c r="Z50" s="16">
        <v>1380</v>
      </c>
      <c r="AA50" s="16">
        <v>1380</v>
      </c>
      <c r="AB50" s="16">
        <v>1380</v>
      </c>
      <c r="AC50" s="25"/>
      <c r="AD50" s="16">
        <v>1380</v>
      </c>
      <c r="AE50" s="16">
        <v>1380</v>
      </c>
      <c r="AF50" s="16">
        <v>1380</v>
      </c>
      <c r="AG50" s="16">
        <v>1380</v>
      </c>
      <c r="AH50" s="51">
        <v>1380</v>
      </c>
      <c r="AI50" s="16">
        <v>1160</v>
      </c>
      <c r="AJ50" s="25"/>
      <c r="AK50" s="16">
        <v>1160</v>
      </c>
      <c r="AL50" s="16"/>
      <c r="AM50" s="17">
        <f>+SUM(B50:AL50)</f>
        <v>35880</v>
      </c>
    </row>
    <row r="51" spans="1:40" s="17" customFormat="1" ht="19.5" customHeight="1">
      <c r="A51" s="12" t="s">
        <v>18</v>
      </c>
      <c r="B51" s="122">
        <v>11</v>
      </c>
      <c r="C51" s="122">
        <v>11</v>
      </c>
      <c r="D51" s="122">
        <v>11</v>
      </c>
      <c r="E51" s="122">
        <v>11</v>
      </c>
      <c r="F51" s="122">
        <v>8</v>
      </c>
      <c r="G51" s="122">
        <v>8</v>
      </c>
      <c r="H51" s="25"/>
      <c r="I51" s="18">
        <v>11</v>
      </c>
      <c r="J51" s="18">
        <v>11</v>
      </c>
      <c r="K51" s="18">
        <v>11</v>
      </c>
      <c r="L51" s="18">
        <v>11</v>
      </c>
      <c r="M51" s="18">
        <v>8</v>
      </c>
      <c r="N51" s="18">
        <v>8</v>
      </c>
      <c r="O51" s="25"/>
      <c r="P51" s="18">
        <v>9.5</v>
      </c>
      <c r="Q51" s="18">
        <v>11</v>
      </c>
      <c r="R51" s="18">
        <v>9.5</v>
      </c>
      <c r="S51" s="18">
        <v>11</v>
      </c>
      <c r="T51" s="18">
        <v>9.5</v>
      </c>
      <c r="U51" s="18">
        <v>9.5</v>
      </c>
      <c r="V51" s="25"/>
      <c r="W51" s="192">
        <v>9.5</v>
      </c>
      <c r="X51" s="192">
        <v>9.5</v>
      </c>
      <c r="Y51" s="192">
        <v>9.5</v>
      </c>
      <c r="Z51" s="192">
        <v>9.5</v>
      </c>
      <c r="AA51" s="192">
        <v>9.5</v>
      </c>
      <c r="AB51" s="192">
        <v>9.5</v>
      </c>
      <c r="AC51" s="193"/>
      <c r="AD51" s="192">
        <v>9.5</v>
      </c>
      <c r="AE51" s="192">
        <v>9.5</v>
      </c>
      <c r="AF51" s="192">
        <v>9.5</v>
      </c>
      <c r="AG51" s="192">
        <v>9.5</v>
      </c>
      <c r="AH51" s="18">
        <v>8</v>
      </c>
      <c r="AI51" s="18">
        <v>8</v>
      </c>
      <c r="AJ51" s="25"/>
      <c r="AK51" s="18">
        <v>8</v>
      </c>
      <c r="AL51" s="18"/>
    </row>
    <row r="52" spans="1:40" s="17" customFormat="1" ht="17.25" customHeight="1">
      <c r="A52" s="2" t="s">
        <v>19</v>
      </c>
      <c r="B52" s="41"/>
      <c r="C52" s="41"/>
      <c r="D52" s="41"/>
      <c r="E52" s="41"/>
      <c r="F52" s="41"/>
      <c r="G52" s="90" t="s">
        <v>345</v>
      </c>
      <c r="H52" s="25"/>
      <c r="I52" s="41"/>
      <c r="J52" s="41"/>
      <c r="K52" s="41"/>
      <c r="L52" s="41"/>
      <c r="M52" s="41"/>
      <c r="N52" s="41"/>
      <c r="O52" s="25"/>
      <c r="P52" s="41"/>
      <c r="Q52" s="41"/>
      <c r="R52" s="41"/>
      <c r="S52" s="41"/>
      <c r="T52" s="41"/>
      <c r="U52" s="41"/>
      <c r="V52" s="25"/>
      <c r="W52" s="41"/>
      <c r="X52" s="41"/>
      <c r="Y52" s="41"/>
      <c r="Z52" s="41"/>
      <c r="AA52" s="41"/>
      <c r="AB52" s="41"/>
      <c r="AC52" s="25"/>
      <c r="AD52" s="41"/>
      <c r="AE52" s="41"/>
      <c r="AF52" s="41"/>
      <c r="AG52" s="41"/>
      <c r="AH52" s="41"/>
      <c r="AI52" s="41"/>
      <c r="AJ52" s="25"/>
      <c r="AK52" s="41"/>
      <c r="AL52" s="60"/>
    </row>
    <row r="53" spans="1:40" s="17" customFormat="1" ht="17.25" customHeight="1">
      <c r="A53" s="2" t="s">
        <v>20</v>
      </c>
      <c r="B53" s="20"/>
      <c r="C53" s="20"/>
      <c r="D53" s="20"/>
      <c r="E53" s="20"/>
      <c r="F53" s="20"/>
      <c r="G53" s="20"/>
      <c r="H53" s="25"/>
      <c r="I53" s="20"/>
      <c r="J53" s="20"/>
      <c r="K53" s="20"/>
      <c r="L53" s="20"/>
      <c r="M53" s="20"/>
      <c r="N53" s="20"/>
      <c r="O53" s="25"/>
      <c r="P53" s="20"/>
      <c r="Q53" s="20"/>
      <c r="R53" s="20"/>
      <c r="S53" s="20"/>
      <c r="T53" s="20"/>
      <c r="U53" s="20"/>
      <c r="V53" s="25"/>
      <c r="W53" s="20"/>
      <c r="X53" s="20"/>
      <c r="Y53" s="20"/>
      <c r="Z53" s="20"/>
      <c r="AA53" s="20"/>
      <c r="AB53" s="20"/>
      <c r="AC53" s="25"/>
      <c r="AD53" s="20"/>
      <c r="AE53" s="20"/>
      <c r="AF53" s="20"/>
      <c r="AG53" s="20"/>
      <c r="AH53" s="20"/>
      <c r="AI53" s="20"/>
      <c r="AJ53" s="25"/>
      <c r="AK53" s="20"/>
      <c r="AL53" s="60"/>
    </row>
    <row r="54" spans="1:40" s="11" customFormat="1" ht="16.5" customHeight="1">
      <c r="A54" s="229" t="s">
        <v>44</v>
      </c>
      <c r="B54" s="46"/>
      <c r="C54" s="42"/>
      <c r="D54" s="40"/>
      <c r="E54" s="47"/>
      <c r="F54" s="47"/>
      <c r="G54" s="50" t="s">
        <v>815</v>
      </c>
      <c r="H54" s="48"/>
      <c r="J54" s="47"/>
      <c r="K54" s="50"/>
      <c r="N54" s="40"/>
      <c r="O54" s="48"/>
      <c r="P54" s="40"/>
      <c r="Q54" s="40"/>
      <c r="T54" s="42" t="s">
        <v>788</v>
      </c>
      <c r="V54" s="48"/>
      <c r="W54" s="40"/>
      <c r="X54" s="40"/>
      <c r="Y54" s="42"/>
      <c r="AA54" s="40"/>
      <c r="AC54" s="48"/>
      <c r="AE54" s="42"/>
      <c r="AF54" s="40"/>
      <c r="AH54" s="42" t="s">
        <v>788</v>
      </c>
      <c r="AI54" s="47"/>
      <c r="AJ54" s="48"/>
      <c r="AK54" s="62"/>
      <c r="AL54" s="61"/>
    </row>
    <row r="55" spans="1:40" s="11" customFormat="1" ht="16.5" customHeight="1">
      <c r="A55" s="230"/>
      <c r="B55" s="22"/>
      <c r="C55" s="171"/>
      <c r="D55" s="40"/>
      <c r="E55" s="21"/>
      <c r="F55" s="21"/>
      <c r="G55" s="171" t="s">
        <v>1543</v>
      </c>
      <c r="H55" s="48"/>
      <c r="I55" s="40"/>
      <c r="J55" s="21"/>
      <c r="K55" s="22"/>
      <c r="L55" s="40"/>
      <c r="M55" s="40"/>
      <c r="N55" s="40"/>
      <c r="O55" s="48"/>
      <c r="P55" s="40"/>
      <c r="Q55" s="40"/>
      <c r="R55" s="40"/>
      <c r="S55" s="40"/>
      <c r="T55" s="22" t="s">
        <v>803</v>
      </c>
      <c r="U55" s="40"/>
      <c r="V55" s="48"/>
      <c r="W55" s="40"/>
      <c r="X55" s="40"/>
      <c r="Y55" s="171"/>
      <c r="Z55" s="40"/>
      <c r="AA55" s="40"/>
      <c r="AB55" s="40"/>
      <c r="AC55" s="48"/>
      <c r="AD55" s="40"/>
      <c r="AE55" s="22"/>
      <c r="AF55" s="40"/>
      <c r="AG55" s="40"/>
      <c r="AH55" s="209" t="s">
        <v>1329</v>
      </c>
      <c r="AI55" s="21"/>
      <c r="AJ55" s="48"/>
      <c r="AK55" s="58"/>
      <c r="AL55" s="61"/>
    </row>
    <row r="56" spans="1:40" s="11" customFormat="1" ht="16.5" customHeight="1">
      <c r="A56" s="230"/>
      <c r="B56" s="22"/>
      <c r="C56" s="42"/>
      <c r="D56" s="40"/>
      <c r="E56" s="21"/>
      <c r="F56" s="21"/>
      <c r="G56" s="195" t="s">
        <v>1637</v>
      </c>
      <c r="H56" s="48"/>
      <c r="I56" s="40"/>
      <c r="J56" s="21"/>
      <c r="K56" s="22"/>
      <c r="L56" s="40"/>
      <c r="M56" s="40"/>
      <c r="N56" s="40"/>
      <c r="O56" s="48"/>
      <c r="P56" s="40"/>
      <c r="Q56" s="40"/>
      <c r="R56" s="40"/>
      <c r="S56" s="40"/>
      <c r="T56" s="22" t="s">
        <v>1597</v>
      </c>
      <c r="U56" s="40"/>
      <c r="V56" s="48"/>
      <c r="W56" s="40"/>
      <c r="X56" s="40"/>
      <c r="Z56" s="40"/>
      <c r="AA56" s="40"/>
      <c r="AB56" s="40"/>
      <c r="AC56" s="48"/>
      <c r="AD56" s="40"/>
      <c r="AE56" s="22"/>
      <c r="AF56" s="40"/>
      <c r="AG56" s="40"/>
      <c r="AH56" s="209" t="s">
        <v>1332</v>
      </c>
      <c r="AI56" s="21"/>
      <c r="AJ56" s="48"/>
      <c r="AK56" s="58"/>
      <c r="AL56" s="61"/>
    </row>
    <row r="57" spans="1:40" s="11" customFormat="1" ht="16.5" customHeight="1">
      <c r="A57" s="230"/>
      <c r="B57" s="22"/>
      <c r="C57" s="42"/>
      <c r="D57" s="40"/>
      <c r="E57" s="21"/>
      <c r="F57" s="21"/>
      <c r="G57" s="213" t="s">
        <v>1384</v>
      </c>
      <c r="H57" s="48"/>
      <c r="I57" s="40"/>
      <c r="J57" s="21"/>
      <c r="K57" s="22"/>
      <c r="L57" s="40"/>
      <c r="M57" s="40"/>
      <c r="N57" s="40"/>
      <c r="O57" s="48"/>
      <c r="P57" s="40"/>
      <c r="Q57" s="40"/>
      <c r="R57" s="40"/>
      <c r="S57" s="40"/>
      <c r="T57" s="22" t="s">
        <v>813</v>
      </c>
      <c r="U57" s="40"/>
      <c r="V57" s="48"/>
      <c r="W57" s="40"/>
      <c r="X57" s="40"/>
      <c r="Y57" s="22"/>
      <c r="Z57" s="40"/>
      <c r="AA57" s="40"/>
      <c r="AB57" s="40"/>
      <c r="AC57" s="48"/>
      <c r="AD57" s="40"/>
      <c r="AE57" s="22"/>
      <c r="AF57" s="40"/>
      <c r="AG57" s="40"/>
      <c r="AH57" s="40"/>
      <c r="AI57" s="21"/>
      <c r="AJ57" s="48"/>
      <c r="AK57" s="58"/>
      <c r="AL57" s="61"/>
    </row>
    <row r="58" spans="1:40" s="11" customFormat="1" ht="16.5" customHeight="1">
      <c r="A58" s="230"/>
      <c r="B58" s="22"/>
      <c r="C58" s="22"/>
      <c r="D58" s="40"/>
      <c r="E58" s="21"/>
      <c r="F58" s="21"/>
      <c r="G58" s="42" t="s">
        <v>788</v>
      </c>
      <c r="H58" s="48"/>
      <c r="I58" s="40"/>
      <c r="J58" s="21"/>
      <c r="K58" s="53"/>
      <c r="L58" s="40"/>
      <c r="M58" s="40"/>
      <c r="N58" s="40"/>
      <c r="O58" s="48"/>
      <c r="P58" s="40"/>
      <c r="Q58" s="40"/>
      <c r="R58" s="40"/>
      <c r="S58" s="40"/>
      <c r="T58" s="49" t="s">
        <v>833</v>
      </c>
      <c r="U58" s="40"/>
      <c r="V58" s="48"/>
      <c r="W58" s="40"/>
      <c r="X58" s="40"/>
      <c r="Y58" s="22"/>
      <c r="Z58" s="40"/>
      <c r="AA58" s="40"/>
      <c r="AB58" s="40"/>
      <c r="AC58" s="48"/>
      <c r="AD58" s="40"/>
      <c r="AE58" s="22"/>
      <c r="AF58" s="40"/>
      <c r="AG58" s="40"/>
      <c r="AH58" s="40"/>
      <c r="AI58" s="21"/>
      <c r="AJ58" s="48"/>
      <c r="AK58" s="58"/>
      <c r="AL58" s="61"/>
    </row>
    <row r="59" spans="1:40" s="11" customFormat="1" ht="16.5" customHeight="1">
      <c r="A59" s="230"/>
      <c r="B59" s="22"/>
      <c r="C59" s="22"/>
      <c r="D59" s="40"/>
      <c r="E59" s="40"/>
      <c r="F59" s="21"/>
      <c r="G59" s="171" t="s">
        <v>1531</v>
      </c>
      <c r="H59" s="48"/>
      <c r="I59" s="40"/>
      <c r="J59" s="21"/>
      <c r="K59" s="53"/>
      <c r="L59" s="40"/>
      <c r="M59" s="40"/>
      <c r="N59" s="40"/>
      <c r="O59" s="48"/>
      <c r="P59" s="40"/>
      <c r="Q59" s="40"/>
      <c r="R59" s="40"/>
      <c r="S59" s="40"/>
      <c r="T59" s="163" t="s">
        <v>1605</v>
      </c>
      <c r="U59" s="40"/>
      <c r="V59" s="48"/>
      <c r="W59" s="40"/>
      <c r="X59" s="40"/>
      <c r="Y59" s="22"/>
      <c r="Z59" s="40"/>
      <c r="AA59" s="40"/>
      <c r="AB59" s="40"/>
      <c r="AC59" s="48"/>
      <c r="AD59" s="40"/>
      <c r="AE59" s="22"/>
      <c r="AF59" s="40"/>
      <c r="AG59" s="40"/>
      <c r="AH59" s="40"/>
      <c r="AI59" s="21"/>
      <c r="AJ59" s="48"/>
      <c r="AL59" s="61"/>
      <c r="AN59" s="22"/>
    </row>
    <row r="60" spans="1:40" s="11" customFormat="1" ht="16.5" customHeight="1">
      <c r="A60" s="230"/>
      <c r="C60" s="22"/>
      <c r="D60" s="40"/>
      <c r="E60" s="40"/>
      <c r="F60" s="21"/>
      <c r="G60" s="50" t="s">
        <v>815</v>
      </c>
      <c r="H60" s="48"/>
      <c r="I60" s="40"/>
      <c r="J60" s="21"/>
      <c r="K60" s="53"/>
      <c r="L60" s="40"/>
      <c r="M60" s="40"/>
      <c r="N60" s="40"/>
      <c r="O60" s="48"/>
      <c r="P60" s="40"/>
      <c r="Q60" s="40"/>
      <c r="R60" s="40"/>
      <c r="S60" s="40"/>
      <c r="T60" s="163" t="s">
        <v>1606</v>
      </c>
      <c r="U60" s="40"/>
      <c r="V60" s="48"/>
      <c r="W60" s="40"/>
      <c r="X60" s="40"/>
      <c r="Y60" s="22"/>
      <c r="Z60" s="40"/>
      <c r="AA60" s="40"/>
      <c r="AB60" s="40"/>
      <c r="AC60" s="48"/>
      <c r="AD60" s="40"/>
      <c r="AE60" s="42"/>
      <c r="AF60" s="40"/>
      <c r="AG60" s="40"/>
      <c r="AH60" s="40"/>
      <c r="AI60" s="21"/>
      <c r="AJ60" s="48"/>
      <c r="AK60" s="58"/>
      <c r="AL60" s="61"/>
      <c r="AN60" s="22"/>
    </row>
    <row r="61" spans="1:40" s="11" customFormat="1" ht="16.5" customHeight="1">
      <c r="A61" s="230"/>
      <c r="B61" s="22"/>
      <c r="C61" s="22"/>
      <c r="D61" s="40"/>
      <c r="E61" s="40"/>
      <c r="F61" s="21"/>
      <c r="G61" s="218" t="s">
        <v>1541</v>
      </c>
      <c r="H61" s="48"/>
      <c r="I61" s="40"/>
      <c r="J61" s="21"/>
      <c r="K61" s="53"/>
      <c r="L61" s="40"/>
      <c r="M61" s="40"/>
      <c r="N61" s="40"/>
      <c r="O61" s="48"/>
      <c r="P61" s="40"/>
      <c r="Q61" s="40"/>
      <c r="R61" s="40"/>
      <c r="S61" s="40"/>
      <c r="T61" s="163" t="s">
        <v>1607</v>
      </c>
      <c r="U61" s="40"/>
      <c r="V61" s="48"/>
      <c r="W61" s="40"/>
      <c r="X61" s="40"/>
      <c r="Y61" s="22"/>
      <c r="Z61" s="40"/>
      <c r="AA61" s="40"/>
      <c r="AB61" s="40"/>
      <c r="AC61" s="48"/>
      <c r="AD61" s="40"/>
      <c r="AE61" s="171"/>
      <c r="AF61" s="40"/>
      <c r="AG61" s="40"/>
      <c r="AH61" s="40"/>
      <c r="AI61" s="21"/>
      <c r="AJ61" s="48"/>
      <c r="AK61" s="58"/>
      <c r="AL61" s="61"/>
      <c r="AN61" s="22"/>
    </row>
    <row r="62" spans="1:40" s="11" customFormat="1" ht="16.5" customHeight="1">
      <c r="A62" s="230"/>
      <c r="B62" s="22"/>
      <c r="C62" s="22"/>
      <c r="D62" s="40"/>
      <c r="E62" s="21"/>
      <c r="F62" s="21"/>
      <c r="G62" s="163" t="s">
        <v>1540</v>
      </c>
      <c r="H62" s="48"/>
      <c r="I62" s="40"/>
      <c r="J62" s="21"/>
      <c r="K62" s="53"/>
      <c r="L62" s="40"/>
      <c r="M62" s="40"/>
      <c r="N62" s="40"/>
      <c r="O62" s="48"/>
      <c r="P62" s="40"/>
      <c r="Q62" s="40"/>
      <c r="R62" s="40"/>
      <c r="S62" s="40"/>
      <c r="T62" s="54" t="s">
        <v>788</v>
      </c>
      <c r="U62" s="40"/>
      <c r="V62" s="48"/>
      <c r="W62" s="40"/>
      <c r="X62" s="40"/>
      <c r="Y62" s="22"/>
      <c r="Z62" s="40"/>
      <c r="AA62" s="40"/>
      <c r="AB62" s="40"/>
      <c r="AC62" s="48"/>
      <c r="AD62" s="40"/>
      <c r="AE62" s="54"/>
      <c r="AF62" s="40"/>
      <c r="AG62" s="40"/>
      <c r="AH62" s="40"/>
      <c r="AI62" s="21"/>
      <c r="AJ62" s="48"/>
      <c r="AK62" s="58"/>
      <c r="AL62" s="61"/>
      <c r="AN62" s="22"/>
    </row>
    <row r="63" spans="1:40" s="11" customFormat="1" ht="16.5" customHeight="1">
      <c r="A63" s="230"/>
      <c r="B63" s="22"/>
      <c r="C63" s="22"/>
      <c r="D63" s="40"/>
      <c r="E63" s="21"/>
      <c r="F63" s="21"/>
      <c r="G63" s="163" t="s">
        <v>1539</v>
      </c>
      <c r="H63" s="48"/>
      <c r="I63" s="40"/>
      <c r="J63" s="21"/>
      <c r="K63" s="53"/>
      <c r="L63" s="40"/>
      <c r="M63" s="40"/>
      <c r="N63" s="40"/>
      <c r="O63" s="48"/>
      <c r="P63" s="40"/>
      <c r="Q63" s="40"/>
      <c r="R63" s="40"/>
      <c r="S63" s="40"/>
      <c r="T63" s="171" t="s">
        <v>1579</v>
      </c>
      <c r="U63" s="40"/>
      <c r="V63" s="48"/>
      <c r="W63" s="40"/>
      <c r="X63" s="40"/>
      <c r="Y63" s="22"/>
      <c r="Z63" s="54"/>
      <c r="AA63" s="40"/>
      <c r="AB63" s="40"/>
      <c r="AC63" s="48"/>
      <c r="AD63" s="40"/>
      <c r="AE63" s="22"/>
      <c r="AF63" s="40"/>
      <c r="AG63" s="40"/>
      <c r="AH63" s="40"/>
      <c r="AI63" s="21"/>
      <c r="AJ63" s="231">
        <f>+SUM(B83:AL83)</f>
        <v>34267</v>
      </c>
      <c r="AK63" s="232"/>
      <c r="AL63" s="23" t="s">
        <v>1</v>
      </c>
      <c r="AN63" s="22"/>
    </row>
    <row r="64" spans="1:40" s="11" customFormat="1" ht="16.5" customHeight="1">
      <c r="A64" s="230"/>
      <c r="B64" s="91" t="s">
        <v>909</v>
      </c>
      <c r="C64" s="22"/>
      <c r="D64" s="40"/>
      <c r="E64" s="21"/>
      <c r="F64" s="21"/>
      <c r="G64" s="195" t="s">
        <v>1365</v>
      </c>
      <c r="H64" s="48"/>
      <c r="I64" s="40"/>
      <c r="J64" s="21"/>
      <c r="K64" s="53"/>
      <c r="L64" s="40"/>
      <c r="M64" s="40"/>
      <c r="N64" s="22"/>
      <c r="O64" s="48"/>
      <c r="P64" s="40"/>
      <c r="Q64" s="40"/>
      <c r="R64" s="40"/>
      <c r="S64" s="40"/>
      <c r="T64" s="50" t="s">
        <v>815</v>
      </c>
      <c r="U64" s="40"/>
      <c r="V64" s="48"/>
      <c r="W64" s="40"/>
      <c r="X64" s="22"/>
      <c r="Y64" s="54"/>
      <c r="Z64" s="40"/>
      <c r="AA64" s="40"/>
      <c r="AB64" s="40"/>
      <c r="AC64" s="48"/>
      <c r="AD64" s="40"/>
      <c r="AE64" s="209"/>
      <c r="AF64" s="54"/>
      <c r="AG64" s="188"/>
      <c r="AH64" s="40"/>
      <c r="AI64" s="21"/>
      <c r="AJ64" s="48"/>
      <c r="AK64" s="58"/>
      <c r="AL64" s="61"/>
      <c r="AN64" s="22"/>
    </row>
    <row r="65" spans="1:40" s="11" customFormat="1" ht="16.5" customHeight="1">
      <c r="A65" s="230"/>
      <c r="B65" s="22"/>
      <c r="C65" s="22"/>
      <c r="D65" s="40"/>
      <c r="E65" s="21"/>
      <c r="F65" s="21"/>
      <c r="G65" s="42" t="s">
        <v>1303</v>
      </c>
      <c r="H65" s="48"/>
      <c r="I65" s="40"/>
      <c r="J65" s="21"/>
      <c r="K65" s="53"/>
      <c r="L65" s="40"/>
      <c r="M65" s="40"/>
      <c r="N65" s="40"/>
      <c r="O65" s="48"/>
      <c r="P65" s="40"/>
      <c r="Q65" s="40"/>
      <c r="R65" s="40"/>
      <c r="S65" s="40"/>
      <c r="T65" s="22" t="s">
        <v>1602</v>
      </c>
      <c r="U65" s="40"/>
      <c r="V65" s="48"/>
      <c r="W65" s="40"/>
      <c r="X65" s="163"/>
      <c r="Y65" s="171"/>
      <c r="Z65" s="40"/>
      <c r="AA65" s="40"/>
      <c r="AB65" s="40"/>
      <c r="AC65" s="48"/>
      <c r="AD65" s="40"/>
      <c r="AE65" s="209"/>
      <c r="AF65" s="171"/>
      <c r="AG65" s="40"/>
      <c r="AH65" s="40"/>
      <c r="AI65" s="21"/>
      <c r="AJ65" s="48"/>
      <c r="AK65" s="58"/>
      <c r="AL65" s="61"/>
      <c r="AN65" s="22"/>
    </row>
    <row r="66" spans="1:40" s="11" customFormat="1" ht="16.5" customHeight="1">
      <c r="A66" s="230"/>
      <c r="B66" s="22"/>
      <c r="D66" s="40"/>
      <c r="E66" s="21"/>
      <c r="F66" s="21"/>
      <c r="G66" s="22" t="s">
        <v>1270</v>
      </c>
      <c r="H66" s="48"/>
      <c r="I66" s="40"/>
      <c r="J66" s="21"/>
      <c r="K66" s="53"/>
      <c r="L66" s="40"/>
      <c r="M66" s="40"/>
      <c r="N66" s="40"/>
      <c r="O66" s="48"/>
      <c r="P66" s="40"/>
      <c r="Q66" s="40"/>
      <c r="R66" s="40"/>
      <c r="S66" s="40"/>
      <c r="T66" s="42" t="s">
        <v>885</v>
      </c>
      <c r="U66" s="40"/>
      <c r="V66" s="48"/>
      <c r="W66" s="40"/>
      <c r="X66" s="22"/>
      <c r="Y66" s="22"/>
      <c r="Z66" s="40"/>
      <c r="AA66" s="40"/>
      <c r="AB66" s="40"/>
      <c r="AC66" s="48"/>
      <c r="AD66" s="40"/>
      <c r="AE66" s="209"/>
      <c r="AF66" s="22"/>
      <c r="AG66" s="40"/>
      <c r="AH66" s="40"/>
      <c r="AI66" s="21"/>
      <c r="AJ66" s="48"/>
      <c r="AK66" s="40"/>
      <c r="AL66" s="61"/>
      <c r="AN66" s="22"/>
    </row>
    <row r="67" spans="1:40" s="11" customFormat="1" ht="16.5" customHeight="1">
      <c r="A67" s="230"/>
      <c r="B67" s="22"/>
      <c r="C67" s="22"/>
      <c r="D67" s="40"/>
      <c r="E67" s="21"/>
      <c r="F67" s="21"/>
      <c r="G67" s="228" t="s">
        <v>1649</v>
      </c>
      <c r="H67" s="48"/>
      <c r="I67" s="40"/>
      <c r="J67" s="21"/>
      <c r="K67" s="53"/>
      <c r="L67" s="40"/>
      <c r="M67" s="40"/>
      <c r="N67" s="40"/>
      <c r="O67" s="48"/>
      <c r="P67" s="40"/>
      <c r="Q67" s="40"/>
      <c r="R67" s="40"/>
      <c r="S67" s="40"/>
      <c r="T67" s="171" t="s">
        <v>1627</v>
      </c>
      <c r="U67" s="40"/>
      <c r="V67" s="48"/>
      <c r="W67" s="40"/>
      <c r="X67" s="40"/>
      <c r="Y67" s="22"/>
      <c r="Z67" s="40"/>
      <c r="AA67" s="40"/>
      <c r="AB67" s="40"/>
      <c r="AC67" s="48"/>
      <c r="AD67" s="40"/>
      <c r="AE67" s="22"/>
      <c r="AF67" s="22"/>
      <c r="AG67" s="40"/>
      <c r="AH67" s="40"/>
      <c r="AI67" s="21"/>
      <c r="AJ67" s="48"/>
      <c r="AK67" s="40"/>
      <c r="AL67" s="61"/>
      <c r="AN67" s="22"/>
    </row>
    <row r="68" spans="1:40" s="11" customFormat="1" ht="16.5" customHeight="1">
      <c r="A68" s="230"/>
      <c r="B68" s="40"/>
      <c r="C68" s="22"/>
      <c r="D68" s="40"/>
      <c r="E68" s="21"/>
      <c r="F68" s="21"/>
      <c r="G68" s="42" t="s">
        <v>788</v>
      </c>
      <c r="H68" s="48"/>
      <c r="I68" s="40"/>
      <c r="J68" s="21"/>
      <c r="K68" s="53"/>
      <c r="L68" s="40"/>
      <c r="M68" s="40"/>
      <c r="N68" s="40"/>
      <c r="O68" s="48"/>
      <c r="P68" s="40"/>
      <c r="Q68" s="40"/>
      <c r="R68" s="40"/>
      <c r="S68" s="40"/>
      <c r="T68" s="187"/>
      <c r="U68" s="40"/>
      <c r="V68" s="48"/>
      <c r="W68" s="40"/>
      <c r="X68" s="40"/>
      <c r="Y68" s="22"/>
      <c r="Z68" s="40"/>
      <c r="AA68" s="40"/>
      <c r="AB68" s="40"/>
      <c r="AC68" s="48"/>
      <c r="AD68" s="40"/>
      <c r="AE68" s="40"/>
      <c r="AF68" s="22"/>
      <c r="AG68" s="40"/>
      <c r="AH68" s="40"/>
      <c r="AI68" s="21"/>
      <c r="AJ68" s="48"/>
      <c r="AK68" s="40"/>
      <c r="AL68" s="61"/>
      <c r="AN68" s="22"/>
    </row>
    <row r="69" spans="1:40" s="11" customFormat="1" ht="16.5" customHeight="1">
      <c r="A69" s="230"/>
      <c r="B69" s="40"/>
      <c r="C69" s="22"/>
      <c r="D69" s="40"/>
      <c r="E69" s="21"/>
      <c r="F69" s="21"/>
      <c r="G69" s="22" t="s">
        <v>789</v>
      </c>
      <c r="H69" s="48"/>
      <c r="I69" s="40"/>
      <c r="J69" s="21"/>
      <c r="K69" s="53"/>
      <c r="L69" s="40"/>
      <c r="M69" s="40"/>
      <c r="N69" s="40"/>
      <c r="O69" s="48"/>
      <c r="P69" s="40"/>
      <c r="Q69" s="40"/>
      <c r="R69" s="40"/>
      <c r="S69" s="40"/>
      <c r="T69" s="40"/>
      <c r="U69" s="40"/>
      <c r="V69" s="48"/>
      <c r="W69" s="40"/>
      <c r="X69" s="40"/>
      <c r="Y69" s="22"/>
      <c r="Z69" s="40"/>
      <c r="AA69" s="40"/>
      <c r="AB69" s="40"/>
      <c r="AC69" s="48"/>
      <c r="AD69" s="40"/>
      <c r="AE69" s="40"/>
      <c r="AF69" s="22"/>
      <c r="AG69" s="40"/>
      <c r="AH69" s="40"/>
      <c r="AI69" s="21"/>
      <c r="AJ69" s="48"/>
      <c r="AK69" s="40"/>
      <c r="AL69" s="61"/>
      <c r="AN69" s="22"/>
    </row>
    <row r="70" spans="1:40" s="11" customFormat="1" ht="16.5" customHeight="1">
      <c r="A70" s="230"/>
      <c r="B70" s="22"/>
      <c r="C70" s="22"/>
      <c r="D70" s="40"/>
      <c r="E70" s="21"/>
      <c r="F70" s="21"/>
      <c r="G70" s="22" t="s">
        <v>793</v>
      </c>
      <c r="H70" s="48"/>
      <c r="I70" s="40"/>
      <c r="J70" s="21"/>
      <c r="K70" s="53"/>
      <c r="L70" s="40"/>
      <c r="M70" s="40"/>
      <c r="N70" s="40"/>
      <c r="O70" s="48"/>
      <c r="P70" s="40"/>
      <c r="Q70" s="40"/>
      <c r="R70" s="40"/>
      <c r="S70" s="40"/>
      <c r="T70" s="40"/>
      <c r="U70" s="40"/>
      <c r="V70" s="48"/>
      <c r="W70" s="40"/>
      <c r="X70" s="40"/>
      <c r="Y70" s="22"/>
      <c r="Z70" s="40"/>
      <c r="AA70" s="40"/>
      <c r="AB70" s="40"/>
      <c r="AC70" s="48"/>
      <c r="AD70" s="40"/>
      <c r="AE70" s="40"/>
      <c r="AF70" s="22"/>
      <c r="AG70" s="40"/>
      <c r="AH70" s="40"/>
      <c r="AI70" s="21"/>
      <c r="AJ70" s="48"/>
      <c r="AK70" s="40"/>
      <c r="AL70" s="61"/>
      <c r="AN70" s="22"/>
    </row>
    <row r="71" spans="1:40" s="11" customFormat="1" ht="16.5" customHeight="1">
      <c r="A71" s="230"/>
      <c r="B71" s="22"/>
      <c r="C71" s="22"/>
      <c r="D71" s="40"/>
      <c r="E71" s="21"/>
      <c r="F71" s="21"/>
      <c r="G71" s="22" t="s">
        <v>790</v>
      </c>
      <c r="H71" s="48"/>
      <c r="I71" s="40"/>
      <c r="J71" s="21"/>
      <c r="K71" s="53"/>
      <c r="L71" s="40"/>
      <c r="M71" s="40"/>
      <c r="N71" s="40"/>
      <c r="O71" s="48"/>
      <c r="P71" s="40"/>
      <c r="Q71" s="40"/>
      <c r="R71" s="40"/>
      <c r="S71" s="40"/>
      <c r="T71" s="40"/>
      <c r="U71" s="40"/>
      <c r="V71" s="48"/>
      <c r="W71" s="40"/>
      <c r="X71" s="40"/>
      <c r="Y71" s="22"/>
      <c r="Z71" s="40"/>
      <c r="AA71" s="40"/>
      <c r="AB71" s="40"/>
      <c r="AC71" s="48"/>
      <c r="AD71" s="40"/>
      <c r="AE71" s="40"/>
      <c r="AF71" s="22"/>
      <c r="AG71" s="40"/>
      <c r="AH71" s="40"/>
      <c r="AI71" s="21"/>
      <c r="AJ71" s="48"/>
      <c r="AK71" s="40"/>
      <c r="AL71" s="61"/>
      <c r="AN71" s="22"/>
    </row>
    <row r="72" spans="1:40" s="11" customFormat="1" ht="16.5" customHeight="1">
      <c r="A72" s="230"/>
      <c r="B72" s="22"/>
      <c r="C72" s="40"/>
      <c r="D72" s="40"/>
      <c r="E72" s="21"/>
      <c r="F72" s="21"/>
      <c r="G72" s="22" t="s">
        <v>791</v>
      </c>
      <c r="H72" s="48"/>
      <c r="I72" s="40"/>
      <c r="J72" s="21"/>
      <c r="K72" s="53"/>
      <c r="L72" s="40"/>
      <c r="M72" s="40"/>
      <c r="N72" s="40"/>
      <c r="O72" s="48"/>
      <c r="P72" s="40"/>
      <c r="Q72" s="40"/>
      <c r="R72" s="40"/>
      <c r="S72" s="40"/>
      <c r="T72" s="40"/>
      <c r="U72" s="40"/>
      <c r="V72" s="48"/>
      <c r="W72" s="40"/>
      <c r="X72" s="40"/>
      <c r="Y72" s="40"/>
      <c r="Z72" s="50"/>
      <c r="AA72" s="40"/>
      <c r="AB72" s="40"/>
      <c r="AC72" s="48"/>
      <c r="AD72" s="40"/>
      <c r="AE72" s="40"/>
      <c r="AF72" s="22"/>
      <c r="AG72" s="40"/>
      <c r="AH72" s="40"/>
      <c r="AI72" s="21"/>
      <c r="AJ72" s="48"/>
      <c r="AK72" s="40"/>
      <c r="AL72" s="61"/>
      <c r="AN72" s="22"/>
    </row>
    <row r="73" spans="1:40" s="11" customFormat="1" ht="16.5" customHeight="1">
      <c r="A73" s="230"/>
      <c r="B73" s="22"/>
      <c r="C73" s="40"/>
      <c r="D73" s="40"/>
      <c r="E73" s="21"/>
      <c r="F73" s="21"/>
      <c r="G73" s="22" t="s">
        <v>794</v>
      </c>
      <c r="H73" s="48"/>
      <c r="I73" s="40"/>
      <c r="J73" s="21"/>
      <c r="K73" s="53"/>
      <c r="L73" s="40"/>
      <c r="M73" s="40"/>
      <c r="N73" s="40"/>
      <c r="O73" s="48"/>
      <c r="P73" s="40"/>
      <c r="Q73" s="40"/>
      <c r="R73" s="40"/>
      <c r="S73" s="40"/>
      <c r="T73" s="40"/>
      <c r="U73" s="40"/>
      <c r="V73" s="48"/>
      <c r="W73" s="40"/>
      <c r="X73" s="40"/>
      <c r="Y73" s="40"/>
      <c r="Z73" s="40"/>
      <c r="AA73" s="40"/>
      <c r="AB73" s="40"/>
      <c r="AC73" s="48"/>
      <c r="AD73" s="22"/>
      <c r="AE73" s="40"/>
      <c r="AF73" s="40"/>
      <c r="AG73" s="40"/>
      <c r="AH73" s="40"/>
      <c r="AI73" s="21"/>
      <c r="AJ73" s="48"/>
      <c r="AK73" s="40"/>
      <c r="AL73" s="61"/>
      <c r="AN73" s="22"/>
    </row>
    <row r="74" spans="1:40" s="11" customFormat="1" ht="16.5" customHeight="1">
      <c r="A74" s="230"/>
      <c r="B74" s="22"/>
      <c r="C74" s="40"/>
      <c r="D74" s="40"/>
      <c r="E74" s="21"/>
      <c r="F74" s="21"/>
      <c r="G74" s="22" t="s">
        <v>795</v>
      </c>
      <c r="H74" s="48"/>
      <c r="I74" s="40"/>
      <c r="J74" s="21"/>
      <c r="K74" s="53"/>
      <c r="L74" s="40"/>
      <c r="M74" s="40"/>
      <c r="N74" s="40"/>
      <c r="O74" s="48"/>
      <c r="P74" s="40"/>
      <c r="Q74" s="40"/>
      <c r="R74" s="40"/>
      <c r="S74" s="40"/>
      <c r="T74" s="40"/>
      <c r="U74" s="40"/>
      <c r="V74" s="48"/>
      <c r="W74" s="40"/>
      <c r="X74" s="40"/>
      <c r="Y74" s="40"/>
      <c r="Z74" s="40"/>
      <c r="AA74" s="40"/>
      <c r="AB74" s="40"/>
      <c r="AC74" s="48"/>
      <c r="AD74" s="22"/>
      <c r="AE74" s="22"/>
      <c r="AF74" s="40"/>
      <c r="AG74" s="40"/>
      <c r="AH74" s="40"/>
      <c r="AI74" s="21"/>
      <c r="AJ74" s="48"/>
      <c r="AK74" s="40"/>
      <c r="AL74" s="61"/>
    </row>
    <row r="75" spans="1:40" s="11" customFormat="1" ht="16.5" customHeight="1">
      <c r="A75" s="230"/>
      <c r="B75" s="22"/>
      <c r="C75" s="49"/>
      <c r="D75" s="40"/>
      <c r="E75" s="21"/>
      <c r="F75" s="21"/>
      <c r="G75" s="22" t="s">
        <v>796</v>
      </c>
      <c r="H75" s="48"/>
      <c r="I75" s="40"/>
      <c r="J75" s="21"/>
      <c r="K75" s="53"/>
      <c r="L75" s="22"/>
      <c r="M75" s="40"/>
      <c r="N75" s="40"/>
      <c r="O75" s="48"/>
      <c r="P75" s="40"/>
      <c r="Q75" s="40"/>
      <c r="R75" s="40"/>
      <c r="S75" s="40"/>
      <c r="T75" s="40"/>
      <c r="U75" s="40"/>
      <c r="V75" s="48"/>
      <c r="W75" s="40"/>
      <c r="X75" s="40"/>
      <c r="Y75" s="40"/>
      <c r="Z75" s="40"/>
      <c r="AA75" s="40"/>
      <c r="AB75" s="40"/>
      <c r="AC75" s="48"/>
      <c r="AD75" s="22"/>
      <c r="AE75" s="40"/>
      <c r="AF75" s="40"/>
      <c r="AG75" s="21"/>
      <c r="AH75" s="40"/>
      <c r="AI75" s="97"/>
      <c r="AJ75" s="48"/>
      <c r="AK75" s="40"/>
      <c r="AL75" s="61"/>
    </row>
    <row r="76" spans="1:40" s="11" customFormat="1" ht="16.5" customHeight="1">
      <c r="A76" s="230"/>
      <c r="B76" s="22"/>
      <c r="C76" s="163"/>
      <c r="D76" s="40"/>
      <c r="E76" s="21"/>
      <c r="F76" s="21"/>
      <c r="G76" s="22" t="s">
        <v>797</v>
      </c>
      <c r="H76" s="48"/>
      <c r="I76" s="40"/>
      <c r="J76" s="21"/>
      <c r="K76" s="53"/>
      <c r="L76" s="22"/>
      <c r="M76" s="40"/>
      <c r="N76" s="40"/>
      <c r="O76" s="48"/>
      <c r="P76" s="40"/>
      <c r="Q76" s="40"/>
      <c r="R76" s="40"/>
      <c r="S76" s="40"/>
      <c r="T76" s="40"/>
      <c r="U76" s="40"/>
      <c r="V76" s="48"/>
      <c r="W76" s="40"/>
      <c r="X76" s="40"/>
      <c r="Y76" s="163"/>
      <c r="Z76" s="40"/>
      <c r="AA76" s="40"/>
      <c r="AB76" s="40"/>
      <c r="AC76" s="48"/>
      <c r="AD76" s="22"/>
      <c r="AE76" s="22"/>
      <c r="AF76" s="40"/>
      <c r="AG76" s="21"/>
      <c r="AH76" s="40"/>
      <c r="AI76" s="97"/>
      <c r="AJ76" s="48"/>
      <c r="AK76" s="40"/>
      <c r="AL76" s="61"/>
    </row>
    <row r="77" spans="1:40" s="11" customFormat="1" ht="16.5" customHeight="1">
      <c r="A77" s="230"/>
      <c r="B77" s="22"/>
      <c r="C77" s="163"/>
      <c r="D77" s="40"/>
      <c r="E77" s="21"/>
      <c r="F77" s="21"/>
      <c r="G77" s="22" t="s">
        <v>798</v>
      </c>
      <c r="H77" s="98"/>
      <c r="I77" s="40"/>
      <c r="J77" s="21"/>
      <c r="K77" s="53"/>
      <c r="L77" s="22"/>
      <c r="M77" s="40"/>
      <c r="N77" s="40"/>
      <c r="O77" s="48"/>
      <c r="P77" s="40"/>
      <c r="Q77" s="40"/>
      <c r="R77" s="40"/>
      <c r="S77" s="40"/>
      <c r="T77" s="40"/>
      <c r="U77" s="40"/>
      <c r="V77" s="98"/>
      <c r="W77" s="40"/>
      <c r="X77" s="40"/>
      <c r="Y77" s="163"/>
      <c r="Z77" s="40"/>
      <c r="AA77" s="40"/>
      <c r="AB77" s="40"/>
      <c r="AC77" s="48"/>
      <c r="AD77" s="22"/>
      <c r="AE77" s="22"/>
      <c r="AF77" s="40"/>
      <c r="AG77" s="21"/>
      <c r="AH77" s="40"/>
      <c r="AI77" s="97"/>
      <c r="AJ77" s="98"/>
      <c r="AK77" s="40"/>
      <c r="AL77" s="61"/>
    </row>
    <row r="78" spans="1:40" s="11" customFormat="1" ht="16.5" customHeight="1">
      <c r="A78" s="230"/>
      <c r="B78" s="22"/>
      <c r="C78" s="163"/>
      <c r="D78" s="40"/>
      <c r="E78" s="21"/>
      <c r="F78" s="21"/>
      <c r="G78" s="22" t="s">
        <v>792</v>
      </c>
      <c r="H78" s="98"/>
      <c r="I78" s="40"/>
      <c r="J78" s="21"/>
      <c r="K78" s="53"/>
      <c r="L78" s="22"/>
      <c r="M78" s="40"/>
      <c r="N78" s="40"/>
      <c r="O78" s="48"/>
      <c r="P78" s="40"/>
      <c r="Q78" s="40"/>
      <c r="R78" s="40"/>
      <c r="S78" s="40"/>
      <c r="T78" s="40"/>
      <c r="U78" s="40"/>
      <c r="V78" s="98"/>
      <c r="W78" s="40"/>
      <c r="X78" s="40"/>
      <c r="Y78" s="163"/>
      <c r="Z78" s="40"/>
      <c r="AA78" s="40"/>
      <c r="AB78" s="40"/>
      <c r="AC78" s="48"/>
      <c r="AD78" s="22"/>
      <c r="AE78" s="22"/>
      <c r="AF78" s="40"/>
      <c r="AG78" s="21"/>
      <c r="AH78" s="40"/>
      <c r="AI78" s="97"/>
      <c r="AJ78" s="98"/>
      <c r="AK78" s="40"/>
      <c r="AL78" s="61"/>
    </row>
    <row r="79" spans="1:40" s="11" customFormat="1" ht="16.5" customHeight="1">
      <c r="A79" s="230"/>
      <c r="B79" s="22"/>
      <c r="C79" s="163"/>
      <c r="D79" s="40"/>
      <c r="E79" s="21"/>
      <c r="F79" s="21"/>
      <c r="G79" s="22" t="s">
        <v>799</v>
      </c>
      <c r="H79" s="98"/>
      <c r="I79" s="40"/>
      <c r="J79" s="21"/>
      <c r="K79" s="53"/>
      <c r="L79" s="22"/>
      <c r="M79" s="40"/>
      <c r="N79" s="40"/>
      <c r="O79" s="48"/>
      <c r="P79" s="40"/>
      <c r="Q79" s="40"/>
      <c r="R79" s="40"/>
      <c r="S79" s="40"/>
      <c r="T79" s="40"/>
      <c r="U79" s="40"/>
      <c r="V79" s="98"/>
      <c r="W79" s="40"/>
      <c r="X79" s="40"/>
      <c r="Y79" s="163"/>
      <c r="Z79" s="40"/>
      <c r="AA79" s="40"/>
      <c r="AB79" s="40"/>
      <c r="AC79" s="48"/>
      <c r="AD79" s="22"/>
      <c r="AE79" s="22"/>
      <c r="AF79" s="40"/>
      <c r="AG79" s="21"/>
      <c r="AH79" s="40"/>
      <c r="AI79" s="97"/>
      <c r="AJ79" s="98"/>
      <c r="AK79" s="40"/>
      <c r="AL79" s="61"/>
    </row>
    <row r="80" spans="1:40" s="11" customFormat="1" ht="16.5" customHeight="1">
      <c r="A80" s="230"/>
      <c r="B80" s="22"/>
      <c r="C80" s="163"/>
      <c r="D80" s="40"/>
      <c r="E80" s="21"/>
      <c r="F80" s="21"/>
      <c r="G80" s="22" t="s">
        <v>800</v>
      </c>
      <c r="H80" s="98"/>
      <c r="I80" s="40"/>
      <c r="J80" s="21"/>
      <c r="K80" s="53"/>
      <c r="L80" s="22"/>
      <c r="M80" s="40"/>
      <c r="N80" s="40"/>
      <c r="O80" s="48"/>
      <c r="P80" s="40"/>
      <c r="Q80" s="40"/>
      <c r="R80" s="40"/>
      <c r="S80" s="40"/>
      <c r="U80" s="40"/>
      <c r="V80" s="98"/>
      <c r="W80" s="40"/>
      <c r="X80" s="40"/>
      <c r="Y80" s="163"/>
      <c r="Z80" s="40"/>
      <c r="AA80" s="40"/>
      <c r="AB80" s="40"/>
      <c r="AC80" s="48"/>
      <c r="AD80" s="22"/>
      <c r="AE80" s="22"/>
      <c r="AF80" s="40"/>
      <c r="AG80" s="21"/>
      <c r="AH80" s="40"/>
      <c r="AI80" s="97"/>
      <c r="AJ80" s="98"/>
      <c r="AK80" s="40"/>
      <c r="AL80" s="61"/>
    </row>
    <row r="81" spans="1:38" s="11" customFormat="1" ht="16.5" customHeight="1">
      <c r="A81" s="230"/>
      <c r="B81" s="22"/>
      <c r="C81" s="163"/>
      <c r="D81" s="40"/>
      <c r="E81" s="21"/>
      <c r="F81" s="21"/>
      <c r="G81" s="22" t="s">
        <v>801</v>
      </c>
      <c r="H81" s="98"/>
      <c r="I81" s="40"/>
      <c r="J81" s="21"/>
      <c r="K81" s="53"/>
      <c r="L81" s="22"/>
      <c r="M81" s="40"/>
      <c r="N81" s="40"/>
      <c r="O81" s="48"/>
      <c r="P81" s="40"/>
      <c r="Q81" s="40"/>
      <c r="S81" s="40"/>
      <c r="T81" s="40"/>
      <c r="U81" s="40"/>
      <c r="V81" s="98"/>
      <c r="W81" s="40"/>
      <c r="X81" s="40"/>
      <c r="Y81" s="163"/>
      <c r="Z81" s="40"/>
      <c r="AA81" s="40"/>
      <c r="AB81" s="40"/>
      <c r="AC81" s="48"/>
      <c r="AD81" s="22"/>
      <c r="AE81" s="22"/>
      <c r="AF81" s="40"/>
      <c r="AG81" s="21"/>
      <c r="AH81" s="40"/>
      <c r="AI81" s="97"/>
      <c r="AJ81" s="98"/>
      <c r="AK81" s="40"/>
      <c r="AL81" s="61"/>
    </row>
    <row r="82" spans="1:38" s="11" customFormat="1" ht="16.5" customHeight="1">
      <c r="A82" s="230"/>
      <c r="B82" s="22"/>
      <c r="C82" s="163"/>
      <c r="D82" s="40"/>
      <c r="E82" s="21"/>
      <c r="F82" s="21"/>
      <c r="G82" s="22" t="s">
        <v>802</v>
      </c>
      <c r="H82" s="98"/>
      <c r="I82" s="40"/>
      <c r="J82" s="21"/>
      <c r="K82" s="53"/>
      <c r="L82" s="22"/>
      <c r="M82" s="40"/>
      <c r="N82" s="40"/>
      <c r="O82" s="48"/>
      <c r="P82" s="40"/>
      <c r="Q82" s="40"/>
      <c r="S82" s="40"/>
      <c r="T82" s="40"/>
      <c r="U82" s="40"/>
      <c r="V82" s="98"/>
      <c r="W82" s="40"/>
      <c r="X82" s="40"/>
      <c r="Y82" s="163"/>
      <c r="Z82" s="40"/>
      <c r="AA82" s="40"/>
      <c r="AB82" s="40"/>
      <c r="AC82" s="48"/>
      <c r="AD82" s="22"/>
      <c r="AE82" s="22"/>
      <c r="AF82" s="40"/>
      <c r="AG82" s="21"/>
      <c r="AH82" s="40"/>
      <c r="AI82" s="97"/>
      <c r="AJ82" s="98"/>
      <c r="AK82" s="40"/>
      <c r="AL82" s="61"/>
    </row>
    <row r="83" spans="1:38" s="11" customFormat="1" ht="16.5" customHeight="1">
      <c r="A83" s="230"/>
      <c r="B83" s="24"/>
      <c r="C83" s="56"/>
      <c r="D83" s="24"/>
      <c r="E83" s="56"/>
      <c r="F83" s="24"/>
      <c r="G83" s="233">
        <f>4697+350+720+550+700+3000+355+220+125+1985+174+386+624+467+1038+60+430+156+108+105</f>
        <v>16250</v>
      </c>
      <c r="H83" s="234"/>
      <c r="I83" s="24"/>
      <c r="J83" s="56"/>
      <c r="K83" s="24"/>
      <c r="L83" s="56"/>
      <c r="M83" s="24"/>
      <c r="N83" s="56"/>
      <c r="O83" s="24"/>
      <c r="P83" s="24"/>
      <c r="Q83" s="56"/>
      <c r="R83" s="24"/>
      <c r="S83" s="56"/>
      <c r="T83" s="233">
        <f>298+301+335+336+1800+450+5000+4750+3696</f>
        <v>16966</v>
      </c>
      <c r="U83" s="234"/>
      <c r="V83" s="56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33">
        <f>526+525</f>
        <v>1051</v>
      </c>
      <c r="AJ83" s="234"/>
      <c r="AK83" s="24"/>
      <c r="AL83" s="64"/>
    </row>
    <row r="84" spans="1:38" s="11" customFormat="1" ht="2.25" customHeight="1">
      <c r="A84" s="26"/>
      <c r="B84" s="27"/>
      <c r="C84" s="27"/>
      <c r="D84" s="27"/>
      <c r="E84" s="28"/>
      <c r="F84" s="27"/>
      <c r="G84" s="27"/>
      <c r="H84" s="27"/>
      <c r="I84" s="27"/>
      <c r="J84" s="44"/>
      <c r="K84" s="44"/>
      <c r="L84" s="44"/>
      <c r="M84" s="44"/>
      <c r="N84" s="44"/>
      <c r="O84" s="27"/>
      <c r="P84" s="27"/>
      <c r="Q84" s="44"/>
      <c r="R84" s="44"/>
      <c r="S84" s="44"/>
      <c r="T84" s="44"/>
      <c r="U84" s="44"/>
      <c r="V84" s="27"/>
      <c r="W84" s="27"/>
      <c r="X84" s="44"/>
      <c r="Y84" s="44"/>
      <c r="Z84" s="44"/>
      <c r="AA84" s="44"/>
      <c r="AB84" s="44"/>
      <c r="AC84" s="27"/>
      <c r="AD84" s="27"/>
      <c r="AE84" s="44"/>
      <c r="AF84" s="44"/>
      <c r="AG84" s="44"/>
      <c r="AH84" s="44"/>
      <c r="AI84" s="44"/>
      <c r="AJ84" s="30"/>
      <c r="AK84" s="44"/>
      <c r="AL84" s="30"/>
    </row>
    <row r="85" spans="1:38" s="57" customFormat="1" ht="32.25" customHeight="1">
      <c r="A85" s="236" t="s">
        <v>2</v>
      </c>
      <c r="B85" s="38" t="s">
        <v>3</v>
      </c>
      <c r="C85" s="32"/>
      <c r="D85" s="31"/>
      <c r="E85" s="31"/>
      <c r="F85" s="32"/>
      <c r="G85" s="32"/>
      <c r="H85" s="32"/>
      <c r="I85" s="238" t="s">
        <v>4</v>
      </c>
      <c r="J85" s="32"/>
      <c r="K85" s="32"/>
      <c r="L85" s="32"/>
      <c r="M85" s="32"/>
      <c r="N85" s="32"/>
      <c r="O85" s="32"/>
      <c r="P85" s="238" t="s">
        <v>5</v>
      </c>
      <c r="Q85" s="32"/>
      <c r="R85" s="32"/>
      <c r="S85" s="32"/>
      <c r="T85" s="32"/>
      <c r="U85" s="32"/>
      <c r="V85" s="32"/>
      <c r="W85" s="238" t="s">
        <v>6</v>
      </c>
      <c r="X85" s="32"/>
      <c r="Y85" s="32"/>
      <c r="Z85" s="32"/>
      <c r="AA85" s="32"/>
      <c r="AB85" s="32"/>
      <c r="AC85" s="32"/>
      <c r="AD85" s="238" t="s">
        <v>46</v>
      </c>
      <c r="AE85" s="32"/>
      <c r="AF85" s="32"/>
      <c r="AG85" s="32"/>
      <c r="AH85" s="32"/>
      <c r="AI85" s="32"/>
      <c r="AJ85" s="32"/>
      <c r="AK85" s="32"/>
      <c r="AL85" s="33"/>
    </row>
    <row r="86" spans="1:38" s="57" customFormat="1" ht="32.25" customHeight="1" thickBot="1">
      <c r="A86" s="237"/>
      <c r="B86" s="39" t="s">
        <v>7</v>
      </c>
      <c r="C86" s="35"/>
      <c r="D86" s="34"/>
      <c r="E86" s="34"/>
      <c r="F86" s="35"/>
      <c r="G86" s="35"/>
      <c r="H86" s="35"/>
      <c r="I86" s="239"/>
      <c r="J86" s="35"/>
      <c r="K86" s="35"/>
      <c r="L86" s="35"/>
      <c r="M86" s="35"/>
      <c r="N86" s="35"/>
      <c r="O86" s="35"/>
      <c r="P86" s="239"/>
      <c r="Q86" s="35"/>
      <c r="R86" s="35"/>
      <c r="S86" s="35"/>
      <c r="T86" s="35"/>
      <c r="U86" s="35"/>
      <c r="V86" s="35"/>
      <c r="W86" s="239"/>
      <c r="X86" s="35"/>
      <c r="Y86" s="35"/>
      <c r="Z86" s="35"/>
      <c r="AA86" s="35"/>
      <c r="AB86" s="35"/>
      <c r="AC86" s="35"/>
      <c r="AD86" s="239"/>
      <c r="AE86" s="35"/>
      <c r="AF86" s="35"/>
      <c r="AG86" s="35"/>
      <c r="AH86" s="35"/>
      <c r="AI86" s="35"/>
      <c r="AJ86" s="35"/>
      <c r="AK86" s="35"/>
      <c r="AL86" s="36"/>
    </row>
    <row r="91" spans="1:38" ht="16.5" customHeight="1"/>
    <row r="92" spans="1:38" ht="16.5" customHeight="1"/>
    <row r="93" spans="1:38" ht="16.5" customHeight="1"/>
    <row r="94" spans="1:38" ht="16.5" customHeight="1"/>
    <row r="95" spans="1:38" ht="16.5" customHeight="1"/>
    <row r="96" spans="1:38" ht="16.5" customHeight="1"/>
    <row r="97" ht="16.5" customHeight="1"/>
    <row r="98" ht="16.5" customHeight="1"/>
    <row r="99" ht="16.5" customHeight="1"/>
    <row r="100" ht="16.5" customHeight="1"/>
    <row r="101" ht="17.25" customHeight="1"/>
    <row r="102" ht="3.75" customHeight="1"/>
    <row r="103" ht="33.75" customHeight="1"/>
    <row r="104" ht="33.75" customHeight="1"/>
  </sheetData>
  <mergeCells count="21">
    <mergeCell ref="A9:A24"/>
    <mergeCell ref="AJ14:AK14"/>
    <mergeCell ref="L24:M24"/>
    <mergeCell ref="T24:U24"/>
    <mergeCell ref="AI24:AJ24"/>
    <mergeCell ref="R24:S24"/>
    <mergeCell ref="AG24:AH24"/>
    <mergeCell ref="A54:A83"/>
    <mergeCell ref="AJ63:AK63"/>
    <mergeCell ref="A30:A48"/>
    <mergeCell ref="AJ36:AK36"/>
    <mergeCell ref="G48:H48"/>
    <mergeCell ref="G83:H83"/>
    <mergeCell ref="AH48:AI48"/>
    <mergeCell ref="AI83:AJ83"/>
    <mergeCell ref="T83:U83"/>
    <mergeCell ref="A85:A86"/>
    <mergeCell ref="I85:I86"/>
    <mergeCell ref="P85:P86"/>
    <mergeCell ref="W85:W86"/>
    <mergeCell ref="AD85:AD86"/>
  </mergeCells>
  <phoneticPr fontId="48" type="noConversion"/>
  <conditionalFormatting sqref="G9">
    <cfRule type="duplicateValues" dxfId="4" priority="1"/>
  </conditionalFormatting>
  <conditionalFormatting sqref="G12">
    <cfRule type="duplicateValues" dxfId="3" priority="2"/>
  </conditionalFormatting>
  <conditionalFormatting sqref="P30">
    <cfRule type="duplicateValues" dxfId="2" priority="3"/>
  </conditionalFormatting>
  <printOptions horizontalCentered="1"/>
  <pageMargins left="0" right="0" top="0" bottom="0" header="0" footer="0"/>
  <pageSetup paperSize="9" scale="4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49"/>
  <sheetViews>
    <sheetView zoomScale="75" zoomScaleNormal="75" workbookViewId="0">
      <pane ySplit="4" topLeftCell="A8" activePane="bottomLeft" state="frozen"/>
      <selection activeCell="X50" sqref="X50"/>
      <selection pane="bottomLeft" activeCell="S19" sqref="S19"/>
    </sheetView>
  </sheetViews>
  <sheetFormatPr defaultColWidth="9" defaultRowHeight="10.5" customHeight="1"/>
  <cols>
    <col min="1" max="1" width="11" style="37" customWidth="1"/>
    <col min="2" max="7" width="8" style="37" customWidth="1"/>
    <col min="8" max="8" width="6" style="37" customWidth="1"/>
    <col min="9" max="14" width="8" style="37" customWidth="1"/>
    <col min="15" max="15" width="6" style="37" customWidth="1"/>
    <col min="16" max="21" width="8" style="37" customWidth="1"/>
    <col min="22" max="22" width="6" style="37" customWidth="1"/>
    <col min="23" max="28" width="8" style="37" customWidth="1"/>
    <col min="29" max="29" width="6" style="37" customWidth="1"/>
    <col min="30" max="35" width="8" style="37" customWidth="1"/>
    <col min="36" max="36" width="6" style="37" customWidth="1"/>
    <col min="37" max="38" width="8" style="37" customWidth="1"/>
    <col min="39" max="16384" width="9" style="37"/>
  </cols>
  <sheetData>
    <row r="1" spans="1:40" s="4" customFormat="1" ht="22">
      <c r="A1" s="3"/>
      <c r="B1" s="7"/>
      <c r="Q1" s="1" t="s">
        <v>1215</v>
      </c>
      <c r="AJ1" s="5" t="s">
        <v>1645</v>
      </c>
    </row>
    <row r="2" spans="1:40" s="11" customFormat="1" ht="17.25" customHeight="1">
      <c r="A2" s="8" t="s">
        <v>11</v>
      </c>
      <c r="B2" s="134" t="s">
        <v>53</v>
      </c>
      <c r="C2" s="134"/>
      <c r="D2" s="134"/>
      <c r="E2" s="134"/>
      <c r="F2" s="134"/>
      <c r="G2" s="134"/>
      <c r="H2" s="135"/>
      <c r="I2" s="134" t="s">
        <v>57</v>
      </c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6"/>
    </row>
    <row r="3" spans="1:40" s="11" customFormat="1" ht="17.25" customHeight="1">
      <c r="A3" s="12" t="s">
        <v>12</v>
      </c>
      <c r="B3" s="137">
        <v>25</v>
      </c>
      <c r="C3" s="138">
        <v>26</v>
      </c>
      <c r="D3" s="137">
        <v>27</v>
      </c>
      <c r="E3" s="138">
        <v>28</v>
      </c>
      <c r="F3" s="138">
        <v>29</v>
      </c>
      <c r="G3" s="138">
        <v>30</v>
      </c>
      <c r="H3" s="138">
        <v>31</v>
      </c>
      <c r="I3" s="139">
        <v>1</v>
      </c>
      <c r="J3" s="138">
        <v>2</v>
      </c>
      <c r="K3" s="137">
        <v>3</v>
      </c>
      <c r="L3" s="137">
        <v>4</v>
      </c>
      <c r="M3" s="137">
        <v>5</v>
      </c>
      <c r="N3" s="138">
        <v>6</v>
      </c>
      <c r="O3" s="137">
        <v>7</v>
      </c>
      <c r="P3" s="137">
        <v>8</v>
      </c>
      <c r="Q3" s="138">
        <v>9</v>
      </c>
      <c r="R3" s="137">
        <v>10</v>
      </c>
      <c r="S3" s="137">
        <v>11</v>
      </c>
      <c r="T3" s="137">
        <v>12</v>
      </c>
      <c r="U3" s="138">
        <v>13</v>
      </c>
      <c r="V3" s="137">
        <v>14</v>
      </c>
      <c r="W3" s="137">
        <v>15</v>
      </c>
      <c r="X3" s="138">
        <v>16</v>
      </c>
      <c r="Y3" s="137">
        <v>17</v>
      </c>
      <c r="Z3" s="137">
        <v>18</v>
      </c>
      <c r="AA3" s="137">
        <v>19</v>
      </c>
      <c r="AB3" s="138">
        <v>20</v>
      </c>
      <c r="AC3" s="137">
        <v>21</v>
      </c>
      <c r="AD3" s="137">
        <v>22</v>
      </c>
      <c r="AE3" s="138">
        <v>23</v>
      </c>
      <c r="AF3" s="137">
        <v>24</v>
      </c>
      <c r="AG3" s="138">
        <v>25</v>
      </c>
      <c r="AH3" s="138">
        <v>26</v>
      </c>
      <c r="AI3" s="138">
        <v>27</v>
      </c>
      <c r="AJ3" s="138">
        <v>28</v>
      </c>
      <c r="AK3" s="138">
        <v>29</v>
      </c>
      <c r="AL3" s="140">
        <v>30</v>
      </c>
    </row>
    <row r="4" spans="1:40" s="11" customFormat="1" ht="17.25" customHeight="1">
      <c r="A4" s="12" t="s">
        <v>13</v>
      </c>
      <c r="B4" s="141" t="s">
        <v>1322</v>
      </c>
      <c r="C4" s="141" t="s">
        <v>1323</v>
      </c>
      <c r="D4" s="141" t="s">
        <v>17</v>
      </c>
      <c r="E4" s="141" t="s">
        <v>14</v>
      </c>
      <c r="F4" s="141" t="s">
        <v>15</v>
      </c>
      <c r="G4" s="141" t="s">
        <v>1324</v>
      </c>
      <c r="H4" s="142" t="s">
        <v>16</v>
      </c>
      <c r="I4" s="143" t="s">
        <v>1322</v>
      </c>
      <c r="J4" s="141" t="s">
        <v>1323</v>
      </c>
      <c r="K4" s="141" t="s">
        <v>17</v>
      </c>
      <c r="L4" s="141" t="s">
        <v>14</v>
      </c>
      <c r="M4" s="141" t="s">
        <v>15</v>
      </c>
      <c r="N4" s="141" t="s">
        <v>1324</v>
      </c>
      <c r="O4" s="142" t="s">
        <v>16</v>
      </c>
      <c r="P4" s="141" t="s">
        <v>1322</v>
      </c>
      <c r="Q4" s="141" t="s">
        <v>1323</v>
      </c>
      <c r="R4" s="141" t="s">
        <v>17</v>
      </c>
      <c r="S4" s="141" t="s">
        <v>14</v>
      </c>
      <c r="T4" s="141" t="s">
        <v>15</v>
      </c>
      <c r="U4" s="141" t="s">
        <v>1324</v>
      </c>
      <c r="V4" s="142" t="s">
        <v>16</v>
      </c>
      <c r="W4" s="141" t="s">
        <v>1322</v>
      </c>
      <c r="X4" s="141" t="s">
        <v>1323</v>
      </c>
      <c r="Y4" s="141" t="s">
        <v>17</v>
      </c>
      <c r="Z4" s="141" t="s">
        <v>14</v>
      </c>
      <c r="AA4" s="141" t="s">
        <v>15</v>
      </c>
      <c r="AB4" s="141" t="s">
        <v>1324</v>
      </c>
      <c r="AC4" s="142" t="s">
        <v>16</v>
      </c>
      <c r="AD4" s="141" t="s">
        <v>1322</v>
      </c>
      <c r="AE4" s="141" t="s">
        <v>1323</v>
      </c>
      <c r="AF4" s="141" t="s">
        <v>17</v>
      </c>
      <c r="AG4" s="141" t="s">
        <v>14</v>
      </c>
      <c r="AH4" s="141" t="s">
        <v>15</v>
      </c>
      <c r="AI4" s="141" t="s">
        <v>1324</v>
      </c>
      <c r="AJ4" s="142" t="s">
        <v>16</v>
      </c>
      <c r="AK4" s="141" t="s">
        <v>1322</v>
      </c>
      <c r="AL4" s="144" t="s">
        <v>1323</v>
      </c>
    </row>
    <row r="5" spans="1:40" s="11" customFormat="1" ht="17.25" customHeight="1">
      <c r="A5" s="12"/>
      <c r="B5" s="108"/>
      <c r="C5" s="108"/>
      <c r="D5" s="108"/>
      <c r="E5" s="108"/>
      <c r="F5" s="108"/>
      <c r="G5" s="108">
        <f>+G7+G28</f>
        <v>800</v>
      </c>
      <c r="H5" s="145"/>
      <c r="I5" s="108">
        <f t="shared" ref="I5:N5" si="0">+I7+I28</f>
        <v>800</v>
      </c>
      <c r="J5" s="108">
        <f t="shared" si="0"/>
        <v>800</v>
      </c>
      <c r="K5" s="108">
        <f t="shared" si="0"/>
        <v>1900</v>
      </c>
      <c r="L5" s="108">
        <f t="shared" si="0"/>
        <v>1900</v>
      </c>
      <c r="M5" s="108">
        <f t="shared" si="0"/>
        <v>1900</v>
      </c>
      <c r="N5" s="108">
        <f t="shared" si="0"/>
        <v>1900</v>
      </c>
      <c r="O5" s="145"/>
      <c r="P5" s="108">
        <f t="shared" ref="P5:U5" si="1">+P7+P28</f>
        <v>1900</v>
      </c>
      <c r="Q5" s="108">
        <f t="shared" si="1"/>
        <v>1900</v>
      </c>
      <c r="R5" s="108">
        <f t="shared" si="1"/>
        <v>1900</v>
      </c>
      <c r="S5" s="108">
        <f t="shared" si="1"/>
        <v>1900</v>
      </c>
      <c r="T5" s="108">
        <f t="shared" si="1"/>
        <v>1900</v>
      </c>
      <c r="U5" s="108">
        <f t="shared" si="1"/>
        <v>1900</v>
      </c>
      <c r="V5" s="145"/>
      <c r="W5" s="108">
        <f t="shared" ref="W5:AB5" si="2">+W7+W28</f>
        <v>1900</v>
      </c>
      <c r="X5" s="108">
        <f t="shared" si="2"/>
        <v>1900</v>
      </c>
      <c r="Y5" s="108">
        <f t="shared" si="2"/>
        <v>1900</v>
      </c>
      <c r="Z5" s="108">
        <f t="shared" si="2"/>
        <v>1900</v>
      </c>
      <c r="AA5" s="108">
        <f t="shared" si="2"/>
        <v>1900</v>
      </c>
      <c r="AB5" s="108">
        <f t="shared" si="2"/>
        <v>1900</v>
      </c>
      <c r="AC5" s="145"/>
      <c r="AD5" s="108">
        <f t="shared" ref="AD5:AI5" si="3">+AD7+AD28</f>
        <v>1900</v>
      </c>
      <c r="AE5" s="108">
        <f t="shared" si="3"/>
        <v>1900</v>
      </c>
      <c r="AF5" s="108">
        <f t="shared" si="3"/>
        <v>1900</v>
      </c>
      <c r="AG5" s="108">
        <f t="shared" si="3"/>
        <v>1900</v>
      </c>
      <c r="AH5" s="108">
        <f t="shared" si="3"/>
        <v>1900</v>
      </c>
      <c r="AI5" s="108">
        <f t="shared" si="3"/>
        <v>1900</v>
      </c>
      <c r="AJ5" s="145"/>
      <c r="AK5" s="108">
        <f>+AK7+AK28</f>
        <v>1100</v>
      </c>
      <c r="AL5" s="108">
        <f>+AL7+AL28</f>
        <v>0</v>
      </c>
    </row>
    <row r="6" spans="1:40" s="17" customFormat="1" ht="19.5" customHeight="1">
      <c r="A6" s="12" t="s">
        <v>18</v>
      </c>
      <c r="B6" s="122">
        <v>11</v>
      </c>
      <c r="C6" s="122">
        <v>11</v>
      </c>
      <c r="D6" s="122">
        <v>11</v>
      </c>
      <c r="E6" s="122">
        <v>11</v>
      </c>
      <c r="F6" s="122">
        <v>8</v>
      </c>
      <c r="G6" s="122">
        <v>8</v>
      </c>
      <c r="H6" s="145"/>
      <c r="I6" s="192">
        <v>11</v>
      </c>
      <c r="J6" s="192">
        <v>11</v>
      </c>
      <c r="K6" s="192">
        <v>11</v>
      </c>
      <c r="L6" s="192">
        <v>11</v>
      </c>
      <c r="M6" s="192">
        <v>8</v>
      </c>
      <c r="N6" s="192">
        <v>8</v>
      </c>
      <c r="O6" s="193"/>
      <c r="P6" s="18">
        <v>9.5</v>
      </c>
      <c r="Q6" s="18">
        <v>9.5</v>
      </c>
      <c r="R6" s="18">
        <v>9.5</v>
      </c>
      <c r="S6" s="18">
        <v>9.5</v>
      </c>
      <c r="T6" s="18">
        <v>9.5</v>
      </c>
      <c r="U6" s="18">
        <v>9.5</v>
      </c>
      <c r="V6" s="25"/>
      <c r="W6" s="18">
        <v>8</v>
      </c>
      <c r="X6" s="18">
        <v>8</v>
      </c>
      <c r="Y6" s="18">
        <v>8</v>
      </c>
      <c r="Z6" s="18">
        <v>8</v>
      </c>
      <c r="AA6" s="18">
        <v>8</v>
      </c>
      <c r="AB6" s="18">
        <v>8</v>
      </c>
      <c r="AC6" s="193"/>
      <c r="AD6" s="18">
        <v>8</v>
      </c>
      <c r="AE6" s="18">
        <v>8</v>
      </c>
      <c r="AF6" s="18">
        <v>8</v>
      </c>
      <c r="AG6" s="18">
        <v>8</v>
      </c>
      <c r="AH6" s="18">
        <v>8</v>
      </c>
      <c r="AI6" s="18">
        <v>8</v>
      </c>
      <c r="AJ6" s="25"/>
      <c r="AK6" s="18">
        <v>8</v>
      </c>
      <c r="AL6" s="18">
        <v>8</v>
      </c>
    </row>
    <row r="7" spans="1:40" s="11" customFormat="1" ht="19.5" customHeight="1">
      <c r="A7" s="12" t="s">
        <v>0</v>
      </c>
      <c r="B7" s="41"/>
      <c r="C7" s="41"/>
      <c r="D7" s="41"/>
      <c r="E7" s="41"/>
      <c r="F7" s="41"/>
      <c r="G7" s="94"/>
      <c r="H7" s="145"/>
      <c r="I7" s="94"/>
      <c r="J7" s="94"/>
      <c r="K7" s="94">
        <v>1100</v>
      </c>
      <c r="L7" s="94">
        <v>1100</v>
      </c>
      <c r="M7" s="94">
        <v>1100</v>
      </c>
      <c r="N7" s="94">
        <v>1100</v>
      </c>
      <c r="O7" s="145"/>
      <c r="P7" s="94">
        <v>1100</v>
      </c>
      <c r="Q7" s="94">
        <v>1100</v>
      </c>
      <c r="R7" s="170">
        <v>1100</v>
      </c>
      <c r="S7" s="94">
        <v>1100</v>
      </c>
      <c r="T7" s="94">
        <v>1100</v>
      </c>
      <c r="U7" s="94">
        <v>1100</v>
      </c>
      <c r="V7" s="145"/>
      <c r="W7" s="94">
        <v>1100</v>
      </c>
      <c r="X7" s="94">
        <v>1100</v>
      </c>
      <c r="Y7" s="94">
        <v>1100</v>
      </c>
      <c r="Z7" s="94">
        <v>1100</v>
      </c>
      <c r="AA7" s="94">
        <v>1100</v>
      </c>
      <c r="AB7" s="94">
        <v>1100</v>
      </c>
      <c r="AC7" s="145"/>
      <c r="AD7" s="94">
        <v>1100</v>
      </c>
      <c r="AE7" s="94">
        <v>1100</v>
      </c>
      <c r="AF7" s="94">
        <v>1100</v>
      </c>
      <c r="AG7" s="94">
        <v>1100</v>
      </c>
      <c r="AH7" s="94">
        <v>1100</v>
      </c>
      <c r="AI7" s="94">
        <v>1100</v>
      </c>
      <c r="AJ7" s="145"/>
      <c r="AK7" s="94">
        <v>1100</v>
      </c>
      <c r="AL7" s="94"/>
      <c r="AM7" s="17">
        <f>+SUM(B7:AL7)</f>
        <v>25300</v>
      </c>
    </row>
    <row r="8" spans="1:40" s="11" customFormat="1" ht="17.25" customHeight="1">
      <c r="A8" s="252" t="s">
        <v>8</v>
      </c>
      <c r="B8" s="111"/>
      <c r="C8" s="49"/>
      <c r="D8" s="116"/>
      <c r="E8" s="146"/>
      <c r="F8" s="146"/>
      <c r="G8" s="40"/>
      <c r="H8" s="147"/>
      <c r="I8" s="40"/>
      <c r="J8" s="116"/>
      <c r="K8" s="54" t="s">
        <v>352</v>
      </c>
      <c r="L8" s="116"/>
      <c r="M8" s="116"/>
      <c r="O8" s="147"/>
      <c r="P8" s="109"/>
      <c r="Q8" s="116"/>
      <c r="R8" s="40"/>
      <c r="S8" s="40"/>
      <c r="T8" s="54" t="s">
        <v>352</v>
      </c>
      <c r="U8" s="116"/>
      <c r="V8" s="147"/>
      <c r="W8" s="116"/>
      <c r="X8" s="54"/>
      <c r="Y8" s="146"/>
      <c r="Z8" s="116"/>
      <c r="AB8" s="116"/>
      <c r="AC8" s="147"/>
      <c r="AD8" s="109"/>
      <c r="AE8" s="55"/>
      <c r="AF8" s="116"/>
      <c r="AG8" s="54" t="s">
        <v>352</v>
      </c>
      <c r="AH8" s="40"/>
      <c r="AI8" s="54"/>
      <c r="AJ8" s="147"/>
      <c r="AK8" s="148"/>
      <c r="AL8" s="149"/>
      <c r="AN8" s="54"/>
    </row>
    <row r="9" spans="1:40" s="11" customFormat="1" ht="17.25" customHeight="1">
      <c r="A9" s="253"/>
      <c r="B9" s="96"/>
      <c r="C9" s="96"/>
      <c r="D9" s="116"/>
      <c r="E9" s="150"/>
      <c r="F9" s="150"/>
      <c r="G9" s="40"/>
      <c r="H9" s="147"/>
      <c r="I9" s="40"/>
      <c r="J9" s="116"/>
      <c r="K9" s="96" t="s">
        <v>933</v>
      </c>
      <c r="L9" s="116"/>
      <c r="M9" s="116"/>
      <c r="N9" s="40"/>
      <c r="O9" s="147"/>
      <c r="P9" s="116"/>
      <c r="Q9" s="116"/>
      <c r="R9" s="40"/>
      <c r="S9" s="40"/>
      <c r="T9" s="96" t="s">
        <v>940</v>
      </c>
      <c r="U9" s="116"/>
      <c r="V9" s="147"/>
      <c r="W9" s="116"/>
      <c r="X9" s="40"/>
      <c r="Y9" s="116"/>
      <c r="Z9" s="116"/>
      <c r="AA9" s="40"/>
      <c r="AB9" s="116"/>
      <c r="AC9" s="147"/>
      <c r="AD9" s="116"/>
      <c r="AE9" s="96"/>
      <c r="AF9" s="116"/>
      <c r="AG9" s="96" t="s">
        <v>357</v>
      </c>
      <c r="AH9" s="40"/>
      <c r="AI9" s="40"/>
      <c r="AJ9" s="147"/>
      <c r="AK9" s="152"/>
      <c r="AL9" s="149"/>
    </row>
    <row r="10" spans="1:40" s="11" customFormat="1" ht="17.25" customHeight="1">
      <c r="A10" s="253"/>
      <c r="B10" s="96"/>
      <c r="C10" s="96"/>
      <c r="D10" s="116"/>
      <c r="E10" s="150"/>
      <c r="F10" s="150"/>
      <c r="G10" s="40"/>
      <c r="H10" s="147"/>
      <c r="I10" s="40"/>
      <c r="J10" s="116"/>
      <c r="K10" s="96" t="s">
        <v>938</v>
      </c>
      <c r="L10" s="116"/>
      <c r="M10" s="116"/>
      <c r="N10" s="40"/>
      <c r="O10" s="147"/>
      <c r="P10" s="116"/>
      <c r="Q10" s="116"/>
      <c r="R10" s="40"/>
      <c r="S10" s="40"/>
      <c r="T10" s="96" t="s">
        <v>353</v>
      </c>
      <c r="U10" s="116"/>
      <c r="V10" s="147"/>
      <c r="W10" s="116"/>
      <c r="X10" s="40"/>
      <c r="Y10" s="116"/>
      <c r="Z10" s="116"/>
      <c r="AA10" s="40"/>
      <c r="AB10" s="116"/>
      <c r="AC10" s="147"/>
      <c r="AD10" s="116"/>
      <c r="AE10" s="96"/>
      <c r="AF10" s="116"/>
      <c r="AG10" s="96" t="s">
        <v>358</v>
      </c>
      <c r="AH10" s="40"/>
      <c r="AI10" s="40"/>
      <c r="AJ10" s="147"/>
      <c r="AK10" s="152"/>
      <c r="AL10" s="149"/>
    </row>
    <row r="11" spans="1:40" s="11" customFormat="1" ht="17.25" customHeight="1">
      <c r="A11" s="253"/>
      <c r="B11" s="96"/>
      <c r="C11" s="55"/>
      <c r="D11" s="116"/>
      <c r="E11" s="150"/>
      <c r="F11" s="150"/>
      <c r="G11" s="40"/>
      <c r="H11" s="147"/>
      <c r="I11" s="40"/>
      <c r="J11" s="116"/>
      <c r="K11" s="96"/>
      <c r="L11" s="116"/>
      <c r="M11" s="116"/>
      <c r="N11" s="40"/>
      <c r="O11" s="147"/>
      <c r="P11" s="116"/>
      <c r="Q11" s="116"/>
      <c r="R11" s="40"/>
      <c r="S11" s="40"/>
      <c r="T11" s="96" t="s">
        <v>354</v>
      </c>
      <c r="U11" s="116"/>
      <c r="V11" s="147"/>
      <c r="W11" s="116"/>
      <c r="X11" s="116"/>
      <c r="Y11" s="116"/>
      <c r="Z11" s="116"/>
      <c r="AA11" s="40"/>
      <c r="AB11" s="116"/>
      <c r="AC11" s="147"/>
      <c r="AD11" s="116"/>
      <c r="AE11" s="96"/>
      <c r="AF11" s="40"/>
      <c r="AG11" s="96" t="s">
        <v>359</v>
      </c>
      <c r="AH11" s="40"/>
      <c r="AI11" s="40"/>
      <c r="AJ11" s="147"/>
      <c r="AK11" s="152"/>
      <c r="AL11" s="149"/>
    </row>
    <row r="12" spans="1:40" s="11" customFormat="1" ht="17.25" customHeight="1">
      <c r="A12" s="253"/>
      <c r="B12" s="96"/>
      <c r="C12" s="96"/>
      <c r="D12" s="116"/>
      <c r="E12" s="150"/>
      <c r="F12" s="150"/>
      <c r="G12" s="40"/>
      <c r="H12" s="147"/>
      <c r="I12" s="40"/>
      <c r="J12" s="116"/>
      <c r="K12" s="154"/>
      <c r="L12" s="116"/>
      <c r="M12" s="116"/>
      <c r="N12" s="40"/>
      <c r="O12" s="147"/>
      <c r="P12" s="116"/>
      <c r="Q12" s="116"/>
      <c r="R12" s="40"/>
      <c r="S12" s="40"/>
      <c r="T12" s="96" t="s">
        <v>355</v>
      </c>
      <c r="U12" s="116"/>
      <c r="V12" s="147"/>
      <c r="W12" s="116"/>
      <c r="X12" s="116"/>
      <c r="Y12" s="116"/>
      <c r="Z12" s="40"/>
      <c r="AA12" s="100"/>
      <c r="AB12" s="116"/>
      <c r="AC12" s="147"/>
      <c r="AD12" s="116"/>
      <c r="AE12" s="96"/>
      <c r="AF12" s="40"/>
      <c r="AG12" s="22" t="s">
        <v>1256</v>
      </c>
      <c r="AH12" s="40"/>
      <c r="AI12" s="40"/>
      <c r="AJ12" s="147"/>
      <c r="AK12" s="152"/>
      <c r="AL12" s="149"/>
    </row>
    <row r="13" spans="1:40" s="11" customFormat="1" ht="17.25" customHeight="1">
      <c r="A13" s="253"/>
      <c r="B13" s="96"/>
      <c r="C13" s="96"/>
      <c r="D13" s="116"/>
      <c r="E13" s="150"/>
      <c r="F13" s="150"/>
      <c r="G13" s="40"/>
      <c r="H13" s="147"/>
      <c r="I13" s="40"/>
      <c r="J13" s="116"/>
      <c r="K13" s="154"/>
      <c r="L13" s="116"/>
      <c r="M13" s="116"/>
      <c r="N13" s="40"/>
      <c r="O13" s="147"/>
      <c r="P13" s="116"/>
      <c r="Q13" s="116"/>
      <c r="R13" s="40"/>
      <c r="S13" s="40"/>
      <c r="T13" s="96" t="s">
        <v>356</v>
      </c>
      <c r="U13" s="116"/>
      <c r="V13" s="147"/>
      <c r="W13" s="116"/>
      <c r="X13" s="116"/>
      <c r="Y13" s="116"/>
      <c r="Z13" s="116"/>
      <c r="AA13" s="54"/>
      <c r="AB13" s="116"/>
      <c r="AC13" s="147"/>
      <c r="AD13" s="116"/>
      <c r="AE13" s="96"/>
      <c r="AF13" s="40"/>
      <c r="AG13" s="22" t="s">
        <v>1257</v>
      </c>
      <c r="AH13" s="40"/>
      <c r="AI13" s="116"/>
      <c r="AJ13" s="147"/>
      <c r="AK13" s="152"/>
      <c r="AL13" s="149"/>
    </row>
    <row r="14" spans="1:40" s="11" customFormat="1" ht="17.25" customHeight="1">
      <c r="A14" s="253"/>
      <c r="B14" s="96"/>
      <c r="C14" s="96"/>
      <c r="D14" s="116"/>
      <c r="E14" s="150"/>
      <c r="F14" s="150"/>
      <c r="G14" s="40"/>
      <c r="H14" s="147"/>
      <c r="I14" s="40"/>
      <c r="J14" s="116"/>
      <c r="K14" s="154"/>
      <c r="L14" s="116"/>
      <c r="M14" s="116"/>
      <c r="N14" s="40"/>
      <c r="O14" s="147"/>
      <c r="P14" s="116"/>
      <c r="Q14" s="116"/>
      <c r="R14" s="40"/>
      <c r="S14" s="40"/>
      <c r="T14" s="96" t="s">
        <v>997</v>
      </c>
      <c r="U14" s="116"/>
      <c r="V14" s="147"/>
      <c r="W14" s="116"/>
      <c r="X14" s="116"/>
      <c r="Y14" s="116"/>
      <c r="Z14" s="116"/>
      <c r="AA14" s="40"/>
      <c r="AB14" s="116"/>
      <c r="AC14" s="147"/>
      <c r="AD14" s="116"/>
      <c r="AE14" s="116"/>
      <c r="AF14" s="40"/>
      <c r="AG14" s="22" t="s">
        <v>1258</v>
      </c>
      <c r="AH14" s="40"/>
      <c r="AI14" s="150"/>
      <c r="AJ14" s="147"/>
      <c r="AK14" s="152"/>
      <c r="AL14" s="149"/>
    </row>
    <row r="15" spans="1:40" s="11" customFormat="1" ht="17.25" customHeight="1">
      <c r="A15" s="253"/>
      <c r="B15" s="96"/>
      <c r="C15" s="96"/>
      <c r="D15" s="116"/>
      <c r="E15" s="150"/>
      <c r="F15" s="150"/>
      <c r="G15" s="40"/>
      <c r="H15" s="147"/>
      <c r="I15" s="116"/>
      <c r="J15" s="116"/>
      <c r="K15" s="96"/>
      <c r="L15" s="116"/>
      <c r="M15" s="116"/>
      <c r="N15" s="40"/>
      <c r="O15" s="147"/>
      <c r="P15" s="116"/>
      <c r="Q15" s="116"/>
      <c r="R15" s="40"/>
      <c r="S15" s="40"/>
      <c r="T15" s="96" t="s">
        <v>998</v>
      </c>
      <c r="U15" s="116"/>
      <c r="V15" s="147"/>
      <c r="W15" s="116"/>
      <c r="X15" s="116"/>
      <c r="Y15" s="116"/>
      <c r="Z15" s="116"/>
      <c r="AA15" s="40"/>
      <c r="AB15" s="116"/>
      <c r="AC15" s="147"/>
      <c r="AD15" s="116"/>
      <c r="AE15" s="116"/>
      <c r="AF15" s="96"/>
      <c r="AG15" s="105"/>
      <c r="AH15" s="40"/>
      <c r="AI15" s="150"/>
      <c r="AJ15" s="147"/>
      <c r="AK15" s="152"/>
      <c r="AL15" s="149"/>
      <c r="AN15" s="54"/>
    </row>
    <row r="16" spans="1:40" s="11" customFormat="1" ht="17.25" customHeight="1">
      <c r="A16" s="253"/>
      <c r="B16" s="96"/>
      <c r="C16" s="96"/>
      <c r="D16" s="116"/>
      <c r="E16" s="150"/>
      <c r="F16" s="150"/>
      <c r="G16" s="40"/>
      <c r="H16" s="147"/>
      <c r="I16" s="116"/>
      <c r="J16" s="116"/>
      <c r="K16" s="154"/>
      <c r="L16" s="54"/>
      <c r="M16" s="116"/>
      <c r="N16" s="116"/>
      <c r="O16" s="147"/>
      <c r="P16" s="116"/>
      <c r="Q16" s="116"/>
      <c r="R16" s="116"/>
      <c r="S16" s="40"/>
      <c r="T16" s="100" t="s">
        <v>1567</v>
      </c>
      <c r="U16" s="116"/>
      <c r="V16" s="147"/>
      <c r="W16" s="116"/>
      <c r="X16" s="150"/>
      <c r="Y16" s="54"/>
      <c r="Z16" s="116"/>
      <c r="AA16" s="40"/>
      <c r="AB16" s="116"/>
      <c r="AC16" s="147"/>
      <c r="AD16" s="116"/>
      <c r="AE16" s="116"/>
      <c r="AF16" s="116"/>
      <c r="AG16" s="150"/>
      <c r="AH16" s="40"/>
      <c r="AI16" s="150"/>
      <c r="AJ16" s="254">
        <f>+SUM(B26:AL26)</f>
        <v>24319</v>
      </c>
      <c r="AK16" s="255"/>
      <c r="AL16" s="155" t="s">
        <v>1</v>
      </c>
    </row>
    <row r="17" spans="1:39" s="11" customFormat="1" ht="17.25" customHeight="1">
      <c r="A17" s="253"/>
      <c r="B17" s="96"/>
      <c r="C17" s="96"/>
      <c r="D17" s="116"/>
      <c r="E17" s="150"/>
      <c r="F17" s="150"/>
      <c r="G17" s="40"/>
      <c r="H17" s="147"/>
      <c r="I17" s="116"/>
      <c r="J17" s="116"/>
      <c r="K17" s="154"/>
      <c r="L17" s="54"/>
      <c r="M17" s="116"/>
      <c r="N17" s="116"/>
      <c r="O17" s="147"/>
      <c r="P17" s="116"/>
      <c r="Q17" s="116"/>
      <c r="R17" s="40"/>
      <c r="S17" s="116"/>
      <c r="T17" s="220" t="s">
        <v>1569</v>
      </c>
      <c r="U17" s="116"/>
      <c r="V17" s="147"/>
      <c r="W17" s="116"/>
      <c r="X17" s="150"/>
      <c r="Y17" s="151"/>
      <c r="Z17" s="40"/>
      <c r="AA17" s="116"/>
      <c r="AB17" s="116"/>
      <c r="AC17" s="147"/>
      <c r="AD17" s="116"/>
      <c r="AE17" s="116"/>
      <c r="AF17" s="116"/>
      <c r="AG17" s="150"/>
      <c r="AH17" s="40"/>
      <c r="AI17" s="150"/>
      <c r="AJ17" s="147"/>
      <c r="AK17" s="152"/>
      <c r="AL17" s="149"/>
    </row>
    <row r="18" spans="1:39" s="11" customFormat="1" ht="17.25" customHeight="1">
      <c r="A18" s="253"/>
      <c r="B18" s="91"/>
      <c r="C18" s="96"/>
      <c r="D18" s="116"/>
      <c r="E18" s="150"/>
      <c r="F18" s="150"/>
      <c r="G18" s="40"/>
      <c r="H18" s="147"/>
      <c r="I18" s="116"/>
      <c r="J18" s="116"/>
      <c r="K18" s="154"/>
      <c r="L18" s="40"/>
      <c r="M18" s="40"/>
      <c r="N18" s="116"/>
      <c r="O18" s="147"/>
      <c r="P18" s="116"/>
      <c r="Q18" s="116"/>
      <c r="R18" s="40"/>
      <c r="S18" s="116"/>
      <c r="T18" s="213" t="s">
        <v>1268</v>
      </c>
      <c r="U18" s="116"/>
      <c r="V18" s="147"/>
      <c r="W18" s="150"/>
      <c r="X18" s="116"/>
      <c r="Y18" s="153"/>
      <c r="Z18" s="40"/>
      <c r="AA18" s="116"/>
      <c r="AB18" s="116"/>
      <c r="AC18" s="147"/>
      <c r="AD18" s="116"/>
      <c r="AE18" s="40"/>
      <c r="AF18" s="116"/>
      <c r="AG18" s="150"/>
      <c r="AH18" s="40"/>
      <c r="AI18" s="150"/>
      <c r="AJ18" s="147"/>
      <c r="AK18" s="156"/>
      <c r="AL18" s="149"/>
    </row>
    <row r="19" spans="1:39" s="11" customFormat="1" ht="17.25" customHeight="1">
      <c r="A19" s="253"/>
      <c r="B19" s="91"/>
      <c r="C19" s="40"/>
      <c r="D19" s="116"/>
      <c r="E19" s="150"/>
      <c r="F19" s="150"/>
      <c r="G19" s="40"/>
      <c r="H19" s="147"/>
      <c r="I19" s="116"/>
      <c r="J19" s="116"/>
      <c r="K19" s="96"/>
      <c r="L19" s="40"/>
      <c r="M19" s="116"/>
      <c r="N19" s="96"/>
      <c r="O19" s="147"/>
      <c r="P19" s="116"/>
      <c r="Q19" s="116"/>
      <c r="R19" s="40"/>
      <c r="S19" s="116"/>
      <c r="T19" s="40"/>
      <c r="U19" s="116"/>
      <c r="V19" s="147"/>
      <c r="W19" s="150"/>
      <c r="X19" s="116"/>
      <c r="Y19" s="116"/>
      <c r="Z19" s="40"/>
      <c r="AA19" s="116"/>
      <c r="AB19" s="150"/>
      <c r="AC19" s="147"/>
      <c r="AD19" s="116"/>
      <c r="AE19" s="40"/>
      <c r="AF19" s="116"/>
      <c r="AG19" s="116"/>
      <c r="AH19" s="91"/>
      <c r="AI19" s="116"/>
      <c r="AJ19" s="147"/>
      <c r="AK19" s="156"/>
      <c r="AL19" s="149"/>
    </row>
    <row r="20" spans="1:39" s="11" customFormat="1" ht="17.25" customHeight="1">
      <c r="A20" s="253"/>
      <c r="B20" s="91"/>
      <c r="C20" s="40"/>
      <c r="D20" s="116"/>
      <c r="E20" s="150"/>
      <c r="F20" s="150"/>
      <c r="G20" s="150"/>
      <c r="H20" s="147"/>
      <c r="I20" s="116"/>
      <c r="J20" s="150"/>
      <c r="K20" s="96"/>
      <c r="L20" s="40"/>
      <c r="M20" s="116"/>
      <c r="N20" s="150"/>
      <c r="O20" s="147"/>
      <c r="P20" s="116"/>
      <c r="Q20" s="96"/>
      <c r="R20" s="40"/>
      <c r="S20" s="116"/>
      <c r="T20" s="40"/>
      <c r="U20" s="150"/>
      <c r="V20" s="147"/>
      <c r="W20" s="150"/>
      <c r="X20" s="116"/>
      <c r="Y20" s="116"/>
      <c r="Z20" s="40"/>
      <c r="AA20" s="116"/>
      <c r="AB20" s="150"/>
      <c r="AC20" s="147"/>
      <c r="AD20" s="116"/>
      <c r="AE20" s="40"/>
      <c r="AF20" s="116"/>
      <c r="AG20" s="116"/>
      <c r="AH20" s="91"/>
      <c r="AI20" s="116"/>
      <c r="AJ20" s="147"/>
      <c r="AK20" s="156"/>
      <c r="AL20" s="149"/>
    </row>
    <row r="21" spans="1:39" s="11" customFormat="1" ht="17.25" customHeight="1">
      <c r="A21" s="253"/>
      <c r="B21" s="91"/>
      <c r="C21" s="40"/>
      <c r="D21" s="116"/>
      <c r="E21" s="150"/>
      <c r="F21" s="150"/>
      <c r="G21" s="150"/>
      <c r="H21" s="147"/>
      <c r="I21" s="116"/>
      <c r="J21" s="150"/>
      <c r="K21" s="96"/>
      <c r="L21" s="40"/>
      <c r="M21" s="116"/>
      <c r="N21" s="150"/>
      <c r="O21" s="147"/>
      <c r="P21" s="116"/>
      <c r="Q21" s="40"/>
      <c r="R21" s="40"/>
      <c r="S21" s="116"/>
      <c r="T21" s="40"/>
      <c r="U21" s="150"/>
      <c r="V21" s="147"/>
      <c r="W21" s="150"/>
      <c r="X21" s="116"/>
      <c r="Y21" s="116"/>
      <c r="Z21" s="40"/>
      <c r="AA21" s="116"/>
      <c r="AB21" s="150"/>
      <c r="AC21" s="147"/>
      <c r="AD21" s="116"/>
      <c r="AE21" s="40"/>
      <c r="AF21" s="116"/>
      <c r="AG21" s="116"/>
      <c r="AH21" s="91"/>
      <c r="AI21" s="116"/>
      <c r="AJ21" s="147"/>
      <c r="AK21" s="156"/>
      <c r="AL21" s="149"/>
    </row>
    <row r="22" spans="1:39" s="11" customFormat="1" ht="17.25" customHeight="1">
      <c r="A22" s="253"/>
      <c r="B22" s="91"/>
      <c r="C22" s="40"/>
      <c r="D22" s="116"/>
      <c r="E22" s="150"/>
      <c r="F22" s="150"/>
      <c r="G22" s="150"/>
      <c r="H22" s="147"/>
      <c r="I22" s="116"/>
      <c r="J22" s="150"/>
      <c r="K22" s="96"/>
      <c r="L22" s="40"/>
      <c r="M22" s="116"/>
      <c r="N22" s="150"/>
      <c r="O22" s="147"/>
      <c r="P22" s="116"/>
      <c r="Q22" s="40"/>
      <c r="R22" s="40"/>
      <c r="S22" s="116"/>
      <c r="T22" s="116"/>
      <c r="U22" s="150"/>
      <c r="V22" s="147"/>
      <c r="W22" s="150"/>
      <c r="X22" s="116"/>
      <c r="Y22" s="116"/>
      <c r="Z22" s="40"/>
      <c r="AA22" s="116"/>
      <c r="AB22" s="150"/>
      <c r="AC22" s="147"/>
      <c r="AD22" s="116"/>
      <c r="AE22" s="40"/>
      <c r="AF22" s="116"/>
      <c r="AG22" s="116"/>
      <c r="AH22" s="91"/>
      <c r="AI22" s="116"/>
      <c r="AJ22" s="147"/>
      <c r="AK22" s="156"/>
      <c r="AL22" s="149"/>
    </row>
    <row r="23" spans="1:39" s="11" customFormat="1" ht="17.25" customHeight="1">
      <c r="A23" s="253"/>
      <c r="B23" s="91"/>
      <c r="C23" s="96"/>
      <c r="D23" s="116"/>
      <c r="E23" s="150"/>
      <c r="F23" s="150"/>
      <c r="G23" s="150"/>
      <c r="H23" s="147"/>
      <c r="I23" s="109"/>
      <c r="J23" s="150"/>
      <c r="K23" s="96"/>
      <c r="L23" s="116"/>
      <c r="M23" s="116"/>
      <c r="N23" s="150"/>
      <c r="O23" s="147"/>
      <c r="P23" s="116"/>
      <c r="Q23" s="116"/>
      <c r="R23" s="40"/>
      <c r="S23" s="40"/>
      <c r="T23" s="40"/>
      <c r="U23" s="150"/>
      <c r="V23" s="147"/>
      <c r="W23" s="150"/>
      <c r="X23" s="116"/>
      <c r="Y23" s="116"/>
      <c r="Z23" s="40"/>
      <c r="AA23" s="116"/>
      <c r="AB23" s="150"/>
      <c r="AC23" s="147"/>
      <c r="AD23" s="116"/>
      <c r="AE23" s="116"/>
      <c r="AF23" s="116"/>
      <c r="AG23" s="116"/>
      <c r="AH23" s="91"/>
      <c r="AI23" s="116"/>
      <c r="AJ23" s="147"/>
      <c r="AK23" s="156"/>
      <c r="AL23" s="149"/>
    </row>
    <row r="24" spans="1:39" s="11" customFormat="1" ht="17.25" customHeight="1">
      <c r="A24" s="253"/>
      <c r="B24" s="91"/>
      <c r="C24" s="96"/>
      <c r="D24" s="116"/>
      <c r="E24" s="150"/>
      <c r="F24" s="150"/>
      <c r="G24" s="150"/>
      <c r="H24" s="147"/>
      <c r="I24" s="150"/>
      <c r="J24" s="116"/>
      <c r="K24" s="116"/>
      <c r="L24" s="116"/>
      <c r="M24" s="116"/>
      <c r="N24" s="150"/>
      <c r="O24" s="147"/>
      <c r="P24" s="116"/>
      <c r="Q24" s="116"/>
      <c r="R24" s="96"/>
      <c r="S24" s="40"/>
      <c r="T24" s="40"/>
      <c r="U24" s="150"/>
      <c r="V24" s="147"/>
      <c r="W24" s="150"/>
      <c r="X24" s="116"/>
      <c r="Y24" s="116"/>
      <c r="Z24" s="40"/>
      <c r="AA24" s="116"/>
      <c r="AB24" s="150"/>
      <c r="AC24" s="147"/>
      <c r="AD24" s="116"/>
      <c r="AE24" s="116"/>
      <c r="AF24" s="116"/>
      <c r="AG24" s="116"/>
      <c r="AH24" s="40"/>
      <c r="AI24" s="40"/>
      <c r="AJ24" s="147"/>
      <c r="AK24" s="156"/>
      <c r="AL24" s="149"/>
    </row>
    <row r="25" spans="1:39" s="11" customFormat="1" ht="17.25" customHeight="1">
      <c r="A25" s="253"/>
      <c r="B25" s="91"/>
      <c r="C25" s="96"/>
      <c r="D25" s="116"/>
      <c r="E25" s="150"/>
      <c r="F25" s="150"/>
      <c r="G25" s="150"/>
      <c r="H25" s="147"/>
      <c r="I25" s="150"/>
      <c r="J25" s="116"/>
      <c r="K25" s="116"/>
      <c r="L25" s="116"/>
      <c r="M25" s="116"/>
      <c r="N25" s="150"/>
      <c r="O25" s="147"/>
      <c r="P25" s="116"/>
      <c r="Q25" s="116"/>
      <c r="R25" s="96"/>
      <c r="S25" s="116"/>
      <c r="T25" s="116"/>
      <c r="U25" s="150"/>
      <c r="V25" s="147"/>
      <c r="W25" s="150"/>
      <c r="X25" s="116"/>
      <c r="Y25" s="116"/>
      <c r="AA25" s="116"/>
      <c r="AB25" s="150"/>
      <c r="AC25" s="147"/>
      <c r="AD25" s="116"/>
      <c r="AE25" s="116"/>
      <c r="AF25" s="116"/>
      <c r="AG25" s="116"/>
      <c r="AH25" s="91"/>
      <c r="AI25" s="40"/>
      <c r="AJ25" s="147"/>
      <c r="AK25" s="157"/>
      <c r="AL25" s="149"/>
    </row>
    <row r="26" spans="1:39" s="11" customFormat="1" ht="17.25" customHeight="1">
      <c r="A26" s="253"/>
      <c r="B26" s="158"/>
      <c r="C26" s="159"/>
      <c r="D26" s="158"/>
      <c r="E26" s="159"/>
      <c r="F26" s="158"/>
      <c r="G26" s="158"/>
      <c r="H26" s="145"/>
      <c r="I26" s="158"/>
      <c r="J26" s="158"/>
      <c r="K26" s="158">
        <f>4070+5000</f>
        <v>9070</v>
      </c>
      <c r="L26" s="158"/>
      <c r="M26" s="158"/>
      <c r="N26" s="158"/>
      <c r="O26" s="145"/>
      <c r="P26" s="159"/>
      <c r="Q26" s="158"/>
      <c r="R26" s="159"/>
      <c r="S26" s="158"/>
      <c r="T26" s="256">
        <f>1500+1000+957+600+420+1348+664+681+5000</f>
        <v>12170</v>
      </c>
      <c r="U26" s="257"/>
      <c r="V26" s="145"/>
      <c r="W26" s="158"/>
      <c r="X26" s="158"/>
      <c r="Y26" s="158"/>
      <c r="Z26" s="158"/>
      <c r="AA26" s="158"/>
      <c r="AB26" s="158"/>
      <c r="AC26" s="145"/>
      <c r="AD26" s="158"/>
      <c r="AE26" s="158"/>
      <c r="AF26" s="158"/>
      <c r="AG26" s="256">
        <f>935+309+310+304+926+295</f>
        <v>3079</v>
      </c>
      <c r="AH26" s="257"/>
      <c r="AI26" s="158"/>
      <c r="AJ26" s="158"/>
      <c r="AK26" s="158"/>
      <c r="AL26" s="160"/>
    </row>
    <row r="27" spans="1:39" s="11" customFormat="1" ht="1.5" customHeight="1">
      <c r="A27" s="253"/>
      <c r="B27" s="112"/>
      <c r="C27" s="112"/>
      <c r="D27" s="112"/>
      <c r="E27" s="161"/>
      <c r="F27" s="112"/>
      <c r="G27" s="112"/>
      <c r="H27" s="16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</row>
    <row r="28" spans="1:39" s="11" customFormat="1" ht="20.25" customHeight="1">
      <c r="A28" s="253"/>
      <c r="B28" s="41"/>
      <c r="C28" s="41"/>
      <c r="D28" s="41"/>
      <c r="E28" s="41"/>
      <c r="F28" s="41"/>
      <c r="G28" s="94">
        <v>800</v>
      </c>
      <c r="H28" s="145"/>
      <c r="I28" s="94">
        <v>800</v>
      </c>
      <c r="J28" s="94">
        <v>800</v>
      </c>
      <c r="K28" s="94">
        <v>800</v>
      </c>
      <c r="L28" s="94">
        <v>800</v>
      </c>
      <c r="M28" s="94">
        <v>800</v>
      </c>
      <c r="N28" s="94">
        <v>800</v>
      </c>
      <c r="O28" s="145"/>
      <c r="P28" s="94">
        <v>800</v>
      </c>
      <c r="Q28" s="94">
        <v>800</v>
      </c>
      <c r="R28" s="94">
        <v>800</v>
      </c>
      <c r="S28" s="94">
        <v>800</v>
      </c>
      <c r="T28" s="170">
        <v>800</v>
      </c>
      <c r="U28" s="94">
        <v>800</v>
      </c>
      <c r="V28" s="145"/>
      <c r="W28" s="94">
        <v>800</v>
      </c>
      <c r="X28" s="94">
        <v>800</v>
      </c>
      <c r="Y28" s="94">
        <v>800</v>
      </c>
      <c r="Z28" s="94">
        <v>800</v>
      </c>
      <c r="AA28" s="94">
        <v>800</v>
      </c>
      <c r="AB28" s="94">
        <v>800</v>
      </c>
      <c r="AC28" s="145"/>
      <c r="AD28" s="94">
        <v>800</v>
      </c>
      <c r="AE28" s="94">
        <v>800</v>
      </c>
      <c r="AF28" s="94">
        <v>800</v>
      </c>
      <c r="AG28" s="94">
        <v>800</v>
      </c>
      <c r="AH28" s="94">
        <v>800</v>
      </c>
      <c r="AI28" s="94">
        <v>800</v>
      </c>
      <c r="AJ28" s="145"/>
      <c r="AK28" s="94"/>
      <c r="AL28" s="94"/>
      <c r="AM28" s="17">
        <f>+SUM(B28:AL28)</f>
        <v>20000</v>
      </c>
    </row>
    <row r="29" spans="1:39" s="11" customFormat="1" ht="16.5" customHeight="1">
      <c r="A29" s="253"/>
      <c r="B29" s="111"/>
      <c r="C29" s="49"/>
      <c r="D29" s="116"/>
      <c r="E29" s="146"/>
      <c r="F29" s="146"/>
      <c r="G29" s="42" t="s">
        <v>1574</v>
      </c>
      <c r="H29" s="147"/>
      <c r="J29" s="116"/>
      <c r="L29" s="116"/>
      <c r="M29" s="40"/>
      <c r="N29" s="40"/>
      <c r="O29" s="147"/>
      <c r="P29" s="116"/>
      <c r="Q29" s="116"/>
      <c r="R29" s="116"/>
      <c r="T29" s="50"/>
      <c r="U29" s="109"/>
      <c r="V29" s="147"/>
      <c r="X29" s="116"/>
      <c r="Y29" s="40"/>
      <c r="Z29" s="40"/>
      <c r="AA29" s="42" t="s">
        <v>885</v>
      </c>
      <c r="AC29" s="147"/>
      <c r="AD29" s="109"/>
      <c r="AF29" s="42"/>
      <c r="AG29" s="146"/>
      <c r="AH29" s="111"/>
      <c r="AI29" s="146"/>
      <c r="AJ29" s="147"/>
      <c r="AK29" s="148"/>
      <c r="AL29" s="149"/>
    </row>
    <row r="30" spans="1:39" s="11" customFormat="1" ht="16.5" customHeight="1">
      <c r="A30" s="253"/>
      <c r="B30" s="96"/>
      <c r="C30" s="96"/>
      <c r="D30" s="116"/>
      <c r="E30" s="150"/>
      <c r="F30" s="150"/>
      <c r="G30" s="171" t="s">
        <v>876</v>
      </c>
      <c r="H30" s="147"/>
      <c r="I30" s="40"/>
      <c r="J30" s="116"/>
      <c r="K30" s="40"/>
      <c r="L30" s="116"/>
      <c r="M30" s="40"/>
      <c r="N30" s="40"/>
      <c r="O30" s="147"/>
      <c r="P30" s="116"/>
      <c r="Q30" s="116"/>
      <c r="R30" s="116"/>
      <c r="S30" s="40"/>
      <c r="T30" s="116"/>
      <c r="U30" s="116"/>
      <c r="V30" s="147"/>
      <c r="W30" s="40"/>
      <c r="X30" s="116"/>
      <c r="Y30" s="40"/>
      <c r="Z30" s="40"/>
      <c r="AA30" s="96" t="s">
        <v>925</v>
      </c>
      <c r="AB30" s="40"/>
      <c r="AC30" s="147"/>
      <c r="AD30" s="116"/>
      <c r="AE30" s="40"/>
      <c r="AF30" s="40"/>
      <c r="AG30" s="150"/>
      <c r="AH30" s="150"/>
      <c r="AI30" s="150"/>
      <c r="AJ30" s="147"/>
      <c r="AK30" s="152"/>
      <c r="AL30" s="149"/>
    </row>
    <row r="31" spans="1:39" s="11" customFormat="1" ht="16.5" customHeight="1">
      <c r="A31" s="253"/>
      <c r="B31" s="96"/>
      <c r="C31" s="96"/>
      <c r="D31" s="116"/>
      <c r="E31" s="150"/>
      <c r="F31" s="150"/>
      <c r="G31" s="171" t="s">
        <v>841</v>
      </c>
      <c r="H31" s="147"/>
      <c r="I31" s="40"/>
      <c r="J31" s="116"/>
      <c r="K31" s="40"/>
      <c r="L31" s="116"/>
      <c r="M31" s="40"/>
      <c r="N31" s="40"/>
      <c r="O31" s="147"/>
      <c r="P31" s="116"/>
      <c r="Q31" s="116"/>
      <c r="R31" s="116"/>
      <c r="S31" s="40"/>
      <c r="T31" s="116"/>
      <c r="U31" s="116"/>
      <c r="V31" s="147"/>
      <c r="W31" s="40"/>
      <c r="X31" s="116"/>
      <c r="Y31" s="40"/>
      <c r="Z31" s="40"/>
      <c r="AA31" s="22" t="s">
        <v>879</v>
      </c>
      <c r="AB31" s="40"/>
      <c r="AC31" s="147"/>
      <c r="AD31" s="116"/>
      <c r="AE31" s="40"/>
      <c r="AF31" s="40"/>
      <c r="AG31" s="150"/>
      <c r="AH31" s="150"/>
      <c r="AI31" s="150"/>
      <c r="AJ31" s="147"/>
      <c r="AK31" s="152"/>
      <c r="AL31" s="149"/>
    </row>
    <row r="32" spans="1:39" s="11" customFormat="1" ht="16.5" customHeight="1">
      <c r="A32" s="253"/>
      <c r="B32" s="96"/>
      <c r="C32" s="55"/>
      <c r="D32" s="116"/>
      <c r="E32" s="150"/>
      <c r="F32" s="150"/>
      <c r="G32" s="171" t="s">
        <v>842</v>
      </c>
      <c r="H32" s="147"/>
      <c r="I32" s="40"/>
      <c r="J32" s="116"/>
      <c r="K32" s="40"/>
      <c r="L32" s="22"/>
      <c r="N32" s="40"/>
      <c r="O32" s="147"/>
      <c r="P32" s="116"/>
      <c r="Q32" s="116"/>
      <c r="R32" s="116"/>
      <c r="S32" s="40"/>
      <c r="T32" s="116"/>
      <c r="U32" s="116"/>
      <c r="V32" s="147"/>
      <c r="W32" s="40"/>
      <c r="X32" s="116"/>
      <c r="Y32" s="40"/>
      <c r="Z32" s="40"/>
      <c r="AA32" s="22" t="s">
        <v>882</v>
      </c>
      <c r="AB32" s="40"/>
      <c r="AC32" s="147"/>
      <c r="AD32" s="116"/>
      <c r="AE32" s="40"/>
      <c r="AF32" s="40"/>
      <c r="AG32" s="150"/>
      <c r="AH32" s="150"/>
      <c r="AI32" s="150"/>
      <c r="AJ32" s="147"/>
      <c r="AK32" s="152"/>
      <c r="AL32" s="149"/>
    </row>
    <row r="33" spans="1:38" s="11" customFormat="1" ht="16.5" customHeight="1">
      <c r="A33" s="253"/>
      <c r="B33" s="96"/>
      <c r="C33" s="96"/>
      <c r="D33" s="116"/>
      <c r="E33" s="150"/>
      <c r="F33" s="150"/>
      <c r="G33" s="171" t="s">
        <v>843</v>
      </c>
      <c r="H33" s="147"/>
      <c r="I33" s="40"/>
      <c r="J33" s="116"/>
      <c r="K33" s="40"/>
      <c r="L33" s="116"/>
      <c r="M33" s="40"/>
      <c r="N33" s="40"/>
      <c r="O33" s="147"/>
      <c r="P33" s="116"/>
      <c r="Q33" s="116"/>
      <c r="R33" s="40"/>
      <c r="S33" s="40"/>
      <c r="T33" s="40"/>
      <c r="U33" s="116"/>
      <c r="V33" s="147"/>
      <c r="W33" s="40"/>
      <c r="X33" s="116"/>
      <c r="Y33" s="40"/>
      <c r="Z33" s="40"/>
      <c r="AA33" s="22" t="s">
        <v>883</v>
      </c>
      <c r="AB33" s="40"/>
      <c r="AC33" s="147"/>
      <c r="AD33" s="116"/>
      <c r="AE33" s="21"/>
      <c r="AF33" s="40"/>
      <c r="AG33" s="150"/>
      <c r="AH33" s="150"/>
      <c r="AI33" s="150"/>
      <c r="AJ33" s="147"/>
      <c r="AK33" s="152"/>
      <c r="AL33" s="149"/>
    </row>
    <row r="34" spans="1:38" s="11" customFormat="1" ht="16.5" customHeight="1">
      <c r="A34" s="253"/>
      <c r="B34" s="96"/>
      <c r="C34" s="96"/>
      <c r="D34" s="116"/>
      <c r="E34" s="150"/>
      <c r="F34" s="40"/>
      <c r="G34" s="171" t="s">
        <v>844</v>
      </c>
      <c r="H34" s="147"/>
      <c r="I34" s="40"/>
      <c r="J34" s="116"/>
      <c r="K34" s="40"/>
      <c r="L34" s="116"/>
      <c r="M34" s="40"/>
      <c r="N34" s="40"/>
      <c r="O34" s="147"/>
      <c r="P34" s="116"/>
      <c r="Q34" s="116"/>
      <c r="R34" s="40"/>
      <c r="S34" s="40"/>
      <c r="T34" s="40"/>
      <c r="U34" s="116"/>
      <c r="V34" s="147"/>
      <c r="W34" s="40"/>
      <c r="X34" s="116"/>
      <c r="Y34" s="116"/>
      <c r="Z34" s="40"/>
      <c r="AA34" s="40"/>
      <c r="AB34" s="40"/>
      <c r="AC34" s="147"/>
      <c r="AD34" s="116"/>
      <c r="AE34" s="96"/>
      <c r="AF34" s="116"/>
      <c r="AG34" s="150"/>
      <c r="AH34" s="150"/>
      <c r="AI34" s="150"/>
      <c r="AJ34" s="147"/>
      <c r="AK34" s="152"/>
      <c r="AL34" s="149"/>
    </row>
    <row r="35" spans="1:38" s="11" customFormat="1" ht="16.5" customHeight="1">
      <c r="A35" s="253"/>
      <c r="B35" s="96"/>
      <c r="C35" s="96"/>
      <c r="D35" s="116"/>
      <c r="E35" s="150"/>
      <c r="F35" s="40"/>
      <c r="G35" s="22" t="s">
        <v>845</v>
      </c>
      <c r="H35" s="147"/>
      <c r="I35" s="40"/>
      <c r="J35" s="116"/>
      <c r="K35" s="40"/>
      <c r="L35" s="116"/>
      <c r="M35" s="40"/>
      <c r="N35" s="40"/>
      <c r="O35" s="147"/>
      <c r="P35" s="116"/>
      <c r="Q35" s="116"/>
      <c r="R35" s="40"/>
      <c r="S35" s="40"/>
      <c r="T35" s="40"/>
      <c r="U35" s="116"/>
      <c r="V35" s="147"/>
      <c r="W35" s="40"/>
      <c r="X35" s="116"/>
      <c r="Y35" s="116"/>
      <c r="Z35" s="40"/>
      <c r="AA35" s="40"/>
      <c r="AB35" s="40"/>
      <c r="AC35" s="147"/>
      <c r="AD35" s="116"/>
      <c r="AE35" s="116"/>
      <c r="AF35" s="116"/>
      <c r="AG35" s="150"/>
      <c r="AH35" s="150"/>
      <c r="AI35" s="150"/>
      <c r="AJ35" s="147"/>
      <c r="AK35" s="152"/>
      <c r="AL35" s="149"/>
    </row>
    <row r="36" spans="1:38" s="11" customFormat="1" ht="16.5" customHeight="1">
      <c r="A36" s="253"/>
      <c r="B36" s="96"/>
      <c r="C36" s="96"/>
      <c r="D36" s="116"/>
      <c r="E36" s="150"/>
      <c r="F36" s="40"/>
      <c r="G36" s="22" t="s">
        <v>851</v>
      </c>
      <c r="H36" s="147"/>
      <c r="I36" s="40"/>
      <c r="J36" s="150"/>
      <c r="K36" s="40"/>
      <c r="L36" s="116"/>
      <c r="M36" s="40"/>
      <c r="N36" s="40"/>
      <c r="O36" s="147"/>
      <c r="P36" s="116"/>
      <c r="Q36" s="116"/>
      <c r="R36" s="40"/>
      <c r="S36" s="40"/>
      <c r="T36" s="40"/>
      <c r="U36" s="116"/>
      <c r="V36" s="147"/>
      <c r="W36" s="40"/>
      <c r="X36" s="116"/>
      <c r="Y36" s="116"/>
      <c r="Z36" s="40"/>
      <c r="AA36" s="40"/>
      <c r="AB36" s="40"/>
      <c r="AC36" s="147"/>
      <c r="AD36" s="116"/>
      <c r="AE36" s="116"/>
      <c r="AF36" s="116"/>
      <c r="AG36" s="150"/>
      <c r="AH36" s="96"/>
      <c r="AI36" s="150"/>
      <c r="AJ36" s="147"/>
      <c r="AK36" s="152"/>
      <c r="AL36" s="149"/>
    </row>
    <row r="37" spans="1:38" s="11" customFormat="1" ht="16.5" customHeight="1">
      <c r="A37" s="253"/>
      <c r="B37" s="96"/>
      <c r="C37" s="96"/>
      <c r="D37" s="116"/>
      <c r="E37" s="150"/>
      <c r="F37" s="40"/>
      <c r="G37" s="22" t="s">
        <v>878</v>
      </c>
      <c r="H37" s="147"/>
      <c r="I37" s="40"/>
      <c r="J37" s="150"/>
      <c r="K37" s="40"/>
      <c r="L37" s="116"/>
      <c r="M37" s="40"/>
      <c r="N37" s="40"/>
      <c r="O37" s="147"/>
      <c r="P37" s="116"/>
      <c r="Q37" s="40"/>
      <c r="R37" s="40"/>
      <c r="S37" s="40"/>
      <c r="T37" s="40"/>
      <c r="U37" s="116"/>
      <c r="V37" s="147"/>
      <c r="W37" s="40"/>
      <c r="X37" s="116"/>
      <c r="Y37" s="116"/>
      <c r="Z37" s="40"/>
      <c r="AA37" s="40"/>
      <c r="AB37" s="40"/>
      <c r="AC37" s="147"/>
      <c r="AD37" s="116"/>
      <c r="AE37" s="116"/>
      <c r="AF37" s="116"/>
      <c r="AG37" s="150"/>
      <c r="AH37" s="116"/>
      <c r="AI37" s="150"/>
      <c r="AJ37" s="254">
        <f>+SUM(B46:AL46)</f>
        <v>19273</v>
      </c>
      <c r="AK37" s="255"/>
      <c r="AL37" s="155" t="s">
        <v>1</v>
      </c>
    </row>
    <row r="38" spans="1:38" s="11" customFormat="1" ht="16.5" customHeight="1">
      <c r="A38" s="253"/>
      <c r="B38" s="91"/>
      <c r="C38" s="42"/>
      <c r="D38" s="116"/>
      <c r="E38" s="150"/>
      <c r="F38" s="40"/>
      <c r="G38" s="22" t="s">
        <v>877</v>
      </c>
      <c r="H38" s="147"/>
      <c r="I38" s="40"/>
      <c r="J38" s="150"/>
      <c r="K38" s="40"/>
      <c r="L38" s="116"/>
      <c r="M38" s="40"/>
      <c r="N38" s="40"/>
      <c r="O38" s="147"/>
      <c r="P38" s="116"/>
      <c r="Q38" s="40"/>
      <c r="R38" s="40"/>
      <c r="S38" s="40"/>
      <c r="U38" s="116"/>
      <c r="V38" s="147"/>
      <c r="W38" s="40"/>
      <c r="X38" s="116"/>
      <c r="Y38" s="116"/>
      <c r="Z38" s="40"/>
      <c r="AA38" s="116"/>
      <c r="AB38" s="42"/>
      <c r="AC38" s="147"/>
      <c r="AD38" s="116"/>
      <c r="AE38" s="116"/>
      <c r="AF38" s="116"/>
      <c r="AG38" s="116"/>
      <c r="AH38" s="91"/>
      <c r="AI38" s="116"/>
      <c r="AJ38" s="147"/>
      <c r="AK38" s="156"/>
      <c r="AL38" s="149"/>
    </row>
    <row r="39" spans="1:38" s="11" customFormat="1" ht="16.5" customHeight="1">
      <c r="A39" s="253"/>
      <c r="B39" s="91"/>
      <c r="C39" s="40"/>
      <c r="D39" s="116"/>
      <c r="E39" s="40"/>
      <c r="F39" s="40"/>
      <c r="G39" s="200" t="s">
        <v>1273</v>
      </c>
      <c r="H39" s="147"/>
      <c r="I39" s="40"/>
      <c r="J39" s="150"/>
      <c r="K39" s="40"/>
      <c r="L39" s="116"/>
      <c r="M39" s="40"/>
      <c r="N39" s="40"/>
      <c r="O39" s="147"/>
      <c r="P39" s="116"/>
      <c r="Q39" s="96"/>
      <c r="R39" s="40"/>
      <c r="S39" s="40"/>
      <c r="T39" s="40"/>
      <c r="V39" s="147"/>
      <c r="W39" s="40"/>
      <c r="X39" s="116"/>
      <c r="Y39" s="116"/>
      <c r="Z39" s="40"/>
      <c r="AA39" s="116"/>
      <c r="AB39" s="40"/>
      <c r="AC39" s="147"/>
      <c r="AD39" s="116"/>
      <c r="AE39" s="116"/>
      <c r="AF39" s="116"/>
      <c r="AG39" s="116"/>
      <c r="AH39" s="91"/>
      <c r="AI39" s="116"/>
      <c r="AJ39" s="147"/>
      <c r="AK39" s="156"/>
      <c r="AL39" s="149"/>
    </row>
    <row r="40" spans="1:38" s="11" customFormat="1" ht="16.5" customHeight="1">
      <c r="A40" s="253"/>
      <c r="B40" s="91"/>
      <c r="C40" s="40"/>
      <c r="D40" s="116"/>
      <c r="E40" s="40"/>
      <c r="F40" s="40"/>
      <c r="G40" s="200" t="s">
        <v>1274</v>
      </c>
      <c r="H40" s="147"/>
      <c r="I40" s="40"/>
      <c r="J40" s="150"/>
      <c r="K40" s="40"/>
      <c r="L40" s="22"/>
      <c r="M40" s="40"/>
      <c r="N40" s="40"/>
      <c r="O40" s="147"/>
      <c r="P40" s="116"/>
      <c r="Q40" s="96"/>
      <c r="R40" s="40"/>
      <c r="S40" s="40"/>
      <c r="T40" s="40"/>
      <c r="U40" s="150"/>
      <c r="V40" s="147"/>
      <c r="W40" s="150"/>
      <c r="X40" s="116"/>
      <c r="Y40" s="116"/>
      <c r="Z40" s="40"/>
      <c r="AA40" s="116"/>
      <c r="AB40" s="40"/>
      <c r="AC40" s="147"/>
      <c r="AD40" s="116"/>
      <c r="AE40" s="116"/>
      <c r="AF40" s="116"/>
      <c r="AG40" s="116"/>
      <c r="AH40" s="91"/>
      <c r="AI40" s="116"/>
      <c r="AJ40" s="147"/>
      <c r="AK40" s="156"/>
      <c r="AL40" s="149"/>
    </row>
    <row r="41" spans="1:38" s="11" customFormat="1" ht="16.5" customHeight="1">
      <c r="A41" s="253"/>
      <c r="B41" s="91"/>
      <c r="C41" s="40"/>
      <c r="D41" s="116"/>
      <c r="E41" s="40"/>
      <c r="F41" s="150"/>
      <c r="G41" s="22" t="s">
        <v>880</v>
      </c>
      <c r="H41" s="147"/>
      <c r="I41" s="40"/>
      <c r="J41" s="150"/>
      <c r="K41" s="40"/>
      <c r="L41" s="116"/>
      <c r="M41" s="40"/>
      <c r="N41" s="40"/>
      <c r="O41" s="147"/>
      <c r="P41" s="116"/>
      <c r="Q41" s="40"/>
      <c r="R41" s="40"/>
      <c r="S41" s="40"/>
      <c r="T41" s="40"/>
      <c r="U41" s="150"/>
      <c r="V41" s="147"/>
      <c r="W41" s="150"/>
      <c r="X41" s="116"/>
      <c r="Y41" s="40"/>
      <c r="Z41" s="40"/>
      <c r="AA41" s="116"/>
      <c r="AB41" s="150"/>
      <c r="AC41" s="147"/>
      <c r="AD41" s="116"/>
      <c r="AE41" s="116"/>
      <c r="AF41" s="116"/>
      <c r="AG41" s="116"/>
      <c r="AH41" s="91"/>
      <c r="AI41" s="116"/>
      <c r="AJ41" s="147"/>
      <c r="AK41" s="156"/>
      <c r="AL41" s="149"/>
    </row>
    <row r="42" spans="1:38" s="11" customFormat="1" ht="16.5" customHeight="1">
      <c r="A42" s="253"/>
      <c r="B42" s="91"/>
      <c r="C42" s="96"/>
      <c r="D42" s="116"/>
      <c r="E42" s="150"/>
      <c r="F42" s="150"/>
      <c r="G42" s="22" t="s">
        <v>881</v>
      </c>
      <c r="H42" s="147"/>
      <c r="I42" s="40"/>
      <c r="J42" s="150"/>
      <c r="K42" s="40"/>
      <c r="L42" s="116"/>
      <c r="M42" s="40"/>
      <c r="N42" s="40"/>
      <c r="O42" s="147"/>
      <c r="P42" s="116"/>
      <c r="Q42" s="40"/>
      <c r="R42" s="96"/>
      <c r="S42" s="40"/>
      <c r="T42" s="116"/>
      <c r="U42" s="150"/>
      <c r="V42" s="147"/>
      <c r="W42" s="150"/>
      <c r="X42" s="116"/>
      <c r="Y42" s="116"/>
      <c r="Z42" s="40"/>
      <c r="AA42" s="116"/>
      <c r="AB42" s="150"/>
      <c r="AC42" s="147"/>
      <c r="AD42" s="116"/>
      <c r="AE42" s="116"/>
      <c r="AF42" s="116"/>
      <c r="AG42" s="116"/>
      <c r="AH42" s="91"/>
      <c r="AI42" s="116"/>
      <c r="AJ42" s="147"/>
      <c r="AK42" s="156"/>
      <c r="AL42" s="149"/>
    </row>
    <row r="43" spans="1:38" s="11" customFormat="1" ht="16.5" customHeight="1">
      <c r="A43" s="253"/>
      <c r="B43" s="91"/>
      <c r="C43" s="96"/>
      <c r="D43" s="116"/>
      <c r="E43" s="150"/>
      <c r="F43" s="150"/>
      <c r="H43" s="147"/>
      <c r="I43" s="40"/>
      <c r="J43" s="116"/>
      <c r="K43" s="40"/>
      <c r="L43" s="116"/>
      <c r="M43" s="40"/>
      <c r="N43" s="40"/>
      <c r="O43" s="147"/>
      <c r="P43" s="116"/>
      <c r="Q43" s="40"/>
      <c r="R43" s="96"/>
      <c r="S43" s="40"/>
      <c r="T43" s="116"/>
      <c r="U43" s="150"/>
      <c r="V43" s="147"/>
      <c r="W43" s="150"/>
      <c r="X43" s="116"/>
      <c r="Y43" s="116"/>
      <c r="Z43" s="40"/>
      <c r="AA43" s="116"/>
      <c r="AB43" s="150"/>
      <c r="AC43" s="147"/>
      <c r="AD43" s="116"/>
      <c r="AE43" s="116"/>
      <c r="AF43" s="116"/>
      <c r="AG43" s="116"/>
      <c r="AH43" s="91"/>
      <c r="AI43" s="116"/>
      <c r="AJ43" s="147"/>
      <c r="AK43" s="156"/>
      <c r="AL43" s="149"/>
    </row>
    <row r="44" spans="1:38" s="11" customFormat="1" ht="16.5" customHeight="1">
      <c r="A44" s="253"/>
      <c r="B44" s="91"/>
      <c r="C44" s="96"/>
      <c r="D44" s="116"/>
      <c r="E44" s="150"/>
      <c r="F44" s="150"/>
      <c r="G44" s="40"/>
      <c r="H44" s="147"/>
      <c r="I44" s="150"/>
      <c r="J44" s="116"/>
      <c r="K44" s="40"/>
      <c r="L44" s="116"/>
      <c r="N44" s="40"/>
      <c r="O44" s="147"/>
      <c r="P44" s="116"/>
      <c r="Q44" s="40"/>
      <c r="R44" s="96"/>
      <c r="S44" s="150"/>
      <c r="T44" s="116"/>
      <c r="U44" s="150"/>
      <c r="V44" s="147"/>
      <c r="W44" s="150"/>
      <c r="X44" s="116"/>
      <c r="Y44" s="116"/>
      <c r="Z44" s="116"/>
      <c r="AA44" s="116"/>
      <c r="AB44" s="150"/>
      <c r="AC44" s="147"/>
      <c r="AD44" s="116"/>
      <c r="AE44" s="116"/>
      <c r="AF44" s="116"/>
      <c r="AG44" s="116"/>
      <c r="AH44" s="91"/>
      <c r="AI44" s="116"/>
      <c r="AJ44" s="147"/>
      <c r="AK44" s="156"/>
      <c r="AL44" s="149"/>
    </row>
    <row r="45" spans="1:38" s="11" customFormat="1" ht="16.5" customHeight="1">
      <c r="A45" s="253"/>
      <c r="B45" s="91"/>
      <c r="C45" s="96"/>
      <c r="D45" s="116"/>
      <c r="E45" s="150"/>
      <c r="F45" s="150"/>
      <c r="G45" s="40"/>
      <c r="H45" s="147"/>
      <c r="I45" s="150"/>
      <c r="J45" s="116"/>
      <c r="K45" s="40"/>
      <c r="L45" s="116"/>
      <c r="M45" s="116"/>
      <c r="O45" s="147"/>
      <c r="P45" s="116"/>
      <c r="Q45" s="116"/>
      <c r="R45" s="96"/>
      <c r="S45" s="116"/>
      <c r="T45" s="116"/>
      <c r="U45" s="150"/>
      <c r="V45" s="147"/>
      <c r="W45" s="150"/>
      <c r="X45" s="116"/>
      <c r="Y45" s="116"/>
      <c r="Z45" s="116"/>
      <c r="AA45" s="116"/>
      <c r="AB45" s="150"/>
      <c r="AC45" s="147"/>
      <c r="AD45" s="116"/>
      <c r="AE45" s="116"/>
      <c r="AF45" s="116"/>
      <c r="AG45" s="116"/>
      <c r="AH45" s="177"/>
      <c r="AI45" s="153"/>
      <c r="AJ45" s="147"/>
      <c r="AK45" s="156"/>
      <c r="AL45" s="149"/>
    </row>
    <row r="46" spans="1:38" s="11" customFormat="1" ht="16.5" customHeight="1">
      <c r="A46" s="253"/>
      <c r="B46" s="158"/>
      <c r="C46" s="159"/>
      <c r="D46" s="158"/>
      <c r="E46" s="159"/>
      <c r="F46" s="158"/>
      <c r="G46" s="256">
        <f>840+594+300+306+543+600+800+1460+720+5000+1240+140+1250</f>
        <v>13793</v>
      </c>
      <c r="H46" s="257"/>
      <c r="I46" s="158"/>
      <c r="J46" s="158"/>
      <c r="K46" s="158"/>
      <c r="L46" s="158"/>
      <c r="M46" s="158"/>
      <c r="N46" s="158"/>
      <c r="O46" s="145"/>
      <c r="P46" s="158"/>
      <c r="Q46" s="158"/>
      <c r="R46" s="158"/>
      <c r="S46" s="158"/>
      <c r="T46" s="158"/>
      <c r="U46" s="158"/>
      <c r="V46" s="145"/>
      <c r="W46" s="158"/>
      <c r="X46" s="158"/>
      <c r="Y46" s="158"/>
      <c r="Z46" s="158"/>
      <c r="AA46" s="210">
        <f>1670+916+710+2184</f>
        <v>5480</v>
      </c>
      <c r="AB46" s="159"/>
      <c r="AC46" s="158"/>
      <c r="AD46" s="158"/>
      <c r="AE46" s="158"/>
      <c r="AF46" s="159"/>
      <c r="AG46" s="159"/>
      <c r="AH46" s="159"/>
      <c r="AI46" s="178"/>
      <c r="AJ46" s="158"/>
      <c r="AK46" s="158"/>
      <c r="AL46" s="160"/>
    </row>
    <row r="47" spans="1:38" s="11" customFormat="1" ht="2.25" customHeight="1">
      <c r="A47" s="26"/>
      <c r="B47" s="27"/>
      <c r="C47" s="27"/>
      <c r="D47" s="27"/>
      <c r="E47" s="28"/>
      <c r="F47" s="27"/>
      <c r="G47" s="27"/>
      <c r="H47" s="27"/>
      <c r="I47" s="27"/>
      <c r="J47" s="44"/>
      <c r="K47" s="44"/>
      <c r="L47" s="44"/>
      <c r="M47" s="44"/>
      <c r="N47" s="44"/>
      <c r="O47" s="27"/>
      <c r="P47" s="27"/>
      <c r="Q47" s="44"/>
      <c r="R47" s="44"/>
      <c r="S47" s="44"/>
      <c r="T47" s="44"/>
      <c r="U47" s="44"/>
      <c r="V47" s="27"/>
      <c r="W47" s="27"/>
      <c r="X47" s="44"/>
      <c r="Y47" s="44"/>
      <c r="Z47" s="44"/>
      <c r="AA47" s="44"/>
      <c r="AB47" s="44"/>
      <c r="AC47" s="27"/>
      <c r="AD47" s="27"/>
      <c r="AE47" s="44"/>
      <c r="AF47" s="44"/>
      <c r="AG47" s="44"/>
      <c r="AH47" s="44"/>
      <c r="AI47" s="44"/>
      <c r="AJ47" s="30"/>
      <c r="AK47" s="30"/>
      <c r="AL47" s="30"/>
    </row>
    <row r="48" spans="1:38" s="57" customFormat="1" ht="32.25" customHeight="1">
      <c r="A48" s="236" t="s">
        <v>2</v>
      </c>
      <c r="B48" s="38" t="s">
        <v>3</v>
      </c>
      <c r="C48" s="32"/>
      <c r="D48" s="31"/>
      <c r="E48" s="31"/>
      <c r="F48" s="32"/>
      <c r="G48" s="32"/>
      <c r="H48" s="32"/>
      <c r="I48" s="238" t="s">
        <v>4</v>
      </c>
      <c r="J48" s="32"/>
      <c r="K48" s="32"/>
      <c r="L48" s="32"/>
      <c r="M48" s="32"/>
      <c r="N48" s="32"/>
      <c r="O48" s="32"/>
      <c r="P48" s="238" t="s">
        <v>5</v>
      </c>
      <c r="Q48" s="32"/>
      <c r="R48" s="32"/>
      <c r="S48" s="32"/>
      <c r="T48" s="32"/>
      <c r="U48" s="32"/>
      <c r="V48" s="32"/>
      <c r="W48" s="238" t="s">
        <v>6</v>
      </c>
      <c r="X48" s="32"/>
      <c r="Y48" s="32"/>
      <c r="Z48" s="32"/>
      <c r="AA48" s="32"/>
      <c r="AB48" s="32"/>
      <c r="AC48" s="32"/>
      <c r="AD48" s="238" t="s">
        <v>46</v>
      </c>
      <c r="AE48" s="32"/>
      <c r="AF48" s="32"/>
      <c r="AG48" s="32"/>
      <c r="AH48" s="32"/>
      <c r="AI48" s="32"/>
      <c r="AJ48" s="32"/>
      <c r="AK48" s="32"/>
      <c r="AL48" s="33"/>
    </row>
    <row r="49" spans="1:38" s="57" customFormat="1" ht="32.25" customHeight="1" thickBot="1">
      <c r="A49" s="237"/>
      <c r="B49" s="39" t="s">
        <v>7</v>
      </c>
      <c r="C49" s="35"/>
      <c r="D49" s="34"/>
      <c r="E49" s="34"/>
      <c r="F49" s="35"/>
      <c r="G49" s="35"/>
      <c r="H49" s="35"/>
      <c r="I49" s="239"/>
      <c r="J49" s="35"/>
      <c r="K49" s="35"/>
      <c r="L49" s="35"/>
      <c r="M49" s="35"/>
      <c r="N49" s="35"/>
      <c r="O49" s="35"/>
      <c r="P49" s="239"/>
      <c r="Q49" s="35"/>
      <c r="R49" s="35"/>
      <c r="S49" s="35"/>
      <c r="T49" s="35"/>
      <c r="U49" s="35"/>
      <c r="V49" s="35"/>
      <c r="W49" s="239"/>
      <c r="X49" s="35"/>
      <c r="Y49" s="35"/>
      <c r="Z49" s="35"/>
      <c r="AA49" s="35"/>
      <c r="AB49" s="35"/>
      <c r="AC49" s="35"/>
      <c r="AD49" s="239"/>
      <c r="AE49" s="35"/>
      <c r="AF49" s="35"/>
      <c r="AG49" s="35"/>
      <c r="AH49" s="35"/>
      <c r="AI49" s="35"/>
      <c r="AJ49" s="35"/>
      <c r="AK49" s="35"/>
      <c r="AL49" s="36"/>
    </row>
  </sheetData>
  <mergeCells count="11">
    <mergeCell ref="A8:A46"/>
    <mergeCell ref="AJ16:AK16"/>
    <mergeCell ref="T26:U26"/>
    <mergeCell ref="AJ37:AK37"/>
    <mergeCell ref="G46:H46"/>
    <mergeCell ref="AG26:AH26"/>
    <mergeCell ref="A48:A49"/>
    <mergeCell ref="I48:I49"/>
    <mergeCell ref="P48:P49"/>
    <mergeCell ref="W48:W49"/>
    <mergeCell ref="AD48:AD49"/>
  </mergeCells>
  <phoneticPr fontId="48" type="noConversion"/>
  <printOptions horizontalCentered="1"/>
  <pageMargins left="0" right="0" top="0" bottom="0" header="0" footer="0"/>
  <pageSetup paperSize="9" scale="4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C3:U29"/>
  <sheetViews>
    <sheetView workbookViewId="0">
      <selection activeCell="J32" sqref="J32"/>
    </sheetView>
  </sheetViews>
  <sheetFormatPr defaultRowHeight="14.5"/>
  <sheetData>
    <row r="3" spans="3:10" ht="16">
      <c r="J3" s="50" t="s">
        <v>400</v>
      </c>
    </row>
    <row r="4" spans="3:10" ht="16">
      <c r="C4" s="73" t="s">
        <v>493</v>
      </c>
      <c r="J4" s="184" t="s">
        <v>1120</v>
      </c>
    </row>
    <row r="5" spans="3:10" ht="17.5">
      <c r="C5" s="22" t="s">
        <v>1333</v>
      </c>
      <c r="J5" s="50" t="s">
        <v>400</v>
      </c>
    </row>
    <row r="6" spans="3:10" ht="17.5">
      <c r="C6" t="s">
        <v>1334</v>
      </c>
      <c r="J6" s="22" t="s">
        <v>1184</v>
      </c>
    </row>
    <row r="7" spans="3:10">
      <c r="J7" t="s">
        <v>1347</v>
      </c>
    </row>
    <row r="10" spans="3:10" ht="16">
      <c r="J10" s="73" t="s">
        <v>181</v>
      </c>
    </row>
    <row r="11" spans="3:10" ht="16">
      <c r="J11" s="73" t="s">
        <v>181</v>
      </c>
    </row>
    <row r="12" spans="3:10" ht="17.5">
      <c r="J12" s="22" t="s">
        <v>1106</v>
      </c>
    </row>
    <row r="13" spans="3:10" ht="17.5">
      <c r="J13" s="22" t="s">
        <v>1107</v>
      </c>
    </row>
    <row r="14" spans="3:10" ht="17.5">
      <c r="J14" s="22" t="s">
        <v>1108</v>
      </c>
    </row>
    <row r="15" spans="3:10" ht="17.5">
      <c r="J15" s="22" t="s">
        <v>1109</v>
      </c>
    </row>
    <row r="16" spans="3:10" ht="17.5">
      <c r="J16" s="22" t="s">
        <v>1110</v>
      </c>
    </row>
    <row r="18" spans="21:21" ht="16">
      <c r="U18" s="54" t="s">
        <v>352</v>
      </c>
    </row>
    <row r="19" spans="21:21" ht="16">
      <c r="U19" s="182" t="s">
        <v>1121</v>
      </c>
    </row>
    <row r="20" spans="21:21" ht="15">
      <c r="U20" s="153" t="s">
        <v>1294</v>
      </c>
    </row>
    <row r="21" spans="21:21" ht="15">
      <c r="U21" s="11"/>
    </row>
    <row r="22" spans="21:21" ht="15">
      <c r="U22" s="11"/>
    </row>
    <row r="27" spans="21:21" ht="16">
      <c r="U27" s="54" t="s">
        <v>352</v>
      </c>
    </row>
    <row r="28" spans="21:21" ht="16">
      <c r="U28" s="182" t="s">
        <v>1121</v>
      </c>
    </row>
    <row r="29" spans="21:21" ht="15">
      <c r="U29" s="183" t="s">
        <v>1325</v>
      </c>
    </row>
  </sheetData>
  <phoneticPr fontId="48" type="noConversion"/>
  <conditionalFormatting sqref="J3">
    <cfRule type="duplicateValues" dxfId="1" priority="2"/>
  </conditionalFormatting>
  <conditionalFormatting sqref="J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具名範圍</vt:lpstr>
      </vt:variant>
      <vt:variant>
        <vt:i4>13</vt:i4>
      </vt:variant>
    </vt:vector>
  </HeadingPairs>
  <TitlesOfParts>
    <vt:vector size="28" baseType="lpstr">
      <vt:lpstr>1部 </vt:lpstr>
      <vt:lpstr>2部 </vt:lpstr>
      <vt:lpstr>3部</vt:lpstr>
      <vt:lpstr>5部</vt:lpstr>
      <vt:lpstr>說明表</vt:lpstr>
      <vt:lpstr>6部</vt:lpstr>
      <vt:lpstr>7部</vt:lpstr>
      <vt:lpstr>8部</vt:lpstr>
      <vt:lpstr>9部</vt:lpstr>
      <vt:lpstr>10部</vt:lpstr>
      <vt:lpstr>11部</vt:lpstr>
      <vt:lpstr>11部 (2)</vt:lpstr>
      <vt:lpstr>12部</vt:lpstr>
      <vt:lpstr>外包  (永好)</vt:lpstr>
      <vt:lpstr>lay ra</vt:lpstr>
      <vt:lpstr>'10部'!Print_Area</vt:lpstr>
      <vt:lpstr>'11部'!Print_Area</vt:lpstr>
      <vt:lpstr>'11部 (2)'!Print_Area</vt:lpstr>
      <vt:lpstr>'12部'!Print_Area</vt:lpstr>
      <vt:lpstr>'1部 '!Print_Area</vt:lpstr>
      <vt:lpstr>'2部 '!Print_Area</vt:lpstr>
      <vt:lpstr>'3部'!Print_Area</vt:lpstr>
      <vt:lpstr>'5部'!Print_Area</vt:lpstr>
      <vt:lpstr>'6部'!Print_Area</vt:lpstr>
      <vt:lpstr>'7部'!Print_Area</vt:lpstr>
      <vt:lpstr>'8部'!Print_Area</vt:lpstr>
      <vt:lpstr>'9部'!Print_Area</vt:lpstr>
      <vt:lpstr>'外包  (永好)'!Print_Area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PPC/Schedule10-(阿诚)EVM</dc:creator>
  <cp:lastModifiedBy>Kao Jim</cp:lastModifiedBy>
  <cp:lastPrinted>2026-05-30T03:43:34Z</cp:lastPrinted>
  <dcterms:created xsi:type="dcterms:W3CDTF">2021-05-08T03:27:41Z</dcterms:created>
  <dcterms:modified xsi:type="dcterms:W3CDTF">2026-06-03T07:51:05Z</dcterms:modified>
</cp:coreProperties>
</file>